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Apr4_Transformers" sheetId="1" r:id="rId5"/>
    <sheet name="Apr27_Transformers_newArchitect" sheetId="2" r:id="rId6"/>
    <sheet name="Jul19_WholeDataset" sheetId="3" r:id="rId7"/>
    <sheet name="Our FInal Model" sheetId="4" r:id="rId8"/>
    <sheet name="Our FInal Model LLM MFP only Va" sheetId="5" r:id="rId9"/>
    <sheet name="Our FInal Model LLM MFP TestSet" sheetId="6" r:id="rId10"/>
    <sheet name="TranSiGen Performance" sheetId="7" r:id="rId11"/>
    <sheet name="PRnet Performance" sheetId="8" r:id="rId12"/>
    <sheet name="NoChange&amp;Mean" sheetId="9" r:id="rId13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<sst xmlns="http://schemas.openxmlformats.org/spreadsheetml/2006/main" uniqueCount="480">
  <si>
    <t>Table 1</t>
  </si>
  <si>
    <t>Model</t>
  </si>
  <si>
    <t>DATA</t>
  </si>
  <si>
    <t>Split</t>
  </si>
  <si>
    <t>Best Epoch</t>
  </si>
  <si>
    <t>Train MSE / other loss</t>
  </si>
  <si>
    <t>Valid loss&amp;MSE</t>
  </si>
  <si>
    <t>Valid R2</t>
  </si>
  <si>
    <t>Comment</t>
  </si>
  <si>
    <t>Transformer: d16 h8 l2</t>
  </si>
  <si>
    <t>Top 10 cells; 80/10/10 split</t>
  </si>
  <si>
    <t>Cell</t>
  </si>
  <si>
    <t>Transformer: d32 h8 l2</t>
  </si>
  <si>
    <t>Transformer: d64 h8 l2</t>
  </si>
  <si>
    <t>Transformer: d128 h8 l2</t>
  </si>
  <si>
    <t>Transformer: d256 h8 l2</t>
  </si>
  <si>
    <t>Transformer: d128 h4 l2</t>
  </si>
  <si>
    <t>Transformer: d128 h16 l2</t>
  </si>
  <si>
    <t>Transformer: d128 h8 l1</t>
  </si>
  <si>
    <t>Transformer: d128 h8 l3</t>
  </si>
  <si>
    <t>Transformer: d128 h8 l4</t>
  </si>
  <si>
    <t>Transformer: d128 h8 l6</t>
  </si>
  <si>
    <t>Transformer: d128 h8 l8</t>
  </si>
  <si>
    <t>Transformer: d128 h8 l2 + (MSE - Cor) Loss</t>
  </si>
  <si>
    <t>1.0997 &amp; 1.3664</t>
  </si>
  <si>
    <t>Transformer: d128 h8 l2 + (MSE - Cos) Loss</t>
  </si>
  <si>
    <t>1.0682 &amp; 1.3657</t>
  </si>
  <si>
    <t>Transformer: d256 h8 l8 + lr 2e-4 + MSE loss</t>
  </si>
  <si>
    <t>Transformer: d64 h8 l8 + lr 2e-4 + MSE loss</t>
  </si>
  <si>
    <t>Not good as hidden dimension 128; We should try a hidden dimension 256 + 8 encoders structure.</t>
  </si>
  <si>
    <t>Transformer: d64 h8 l8 + lr 2e-4 + MSE loss + dp025</t>
  </si>
  <si>
    <t>Transformer: d64 h8 l8 + lr 2e-4 + MSE loss + dp03</t>
  </si>
  <si>
    <t>Seems that higher drop out rate harm performance. we need to try a less dropout rate at 0.1.</t>
  </si>
  <si>
    <t>Transformer: d64 h8 l8 + lr 2e-4 + MSE loss + dp01 + 128 batch</t>
  </si>
  <si>
    <t>Drop out rate is an important hyper parameter</t>
  </si>
  <si>
    <t>Transformer: d64 h8 l8 + lr 2e-4 + MSE loss + 128 batch</t>
  </si>
  <si>
    <t>Increasing Batch size seems can make the training more stable; but peak performance similar.</t>
  </si>
  <si>
    <t>Transformer: d64 h8 l8 + lr 2e-4 + (MSE - Cor)</t>
  </si>
  <si>
    <t>0.9738 &amp; 1.2404</t>
  </si>
  <si>
    <t xml:space="preserve"> Not useful to use different loss function if number of encoders is enough</t>
  </si>
  <si>
    <t>Transformer: d64 h8 l8 + lr 2e-4 + (MSE - Cos)</t>
  </si>
  <si>
    <t>0.9393 &amp; 1.2369</t>
  </si>
  <si>
    <t>Transformer: d64 h8 l8 + lr 5e-4 + MSE loss</t>
  </si>
  <si>
    <t>Increasing learning rate can help, do more aggressive learning rate.</t>
  </si>
  <si>
    <t>Transformer: d64 h8 l8 + lr 5e-4, cos schedule min 1e-5 + MSE loss</t>
  </si>
  <si>
    <t>May help, but need to increase the max and min learning rate.</t>
  </si>
  <si>
    <t>Transformer: d64 h8 l8 + lr 5e-4 + MSE loss + GPT embed</t>
  </si>
  <si>
    <t xml:space="preserve"> Using LLM embedding can improve a little bit</t>
  </si>
  <si>
    <t>Transformer: d64 h8 l8 + lr 1e-3 + MSE loss</t>
  </si>
  <si>
    <t>Very bad, can not train.</t>
  </si>
  <si>
    <t>Transformer: d64 h8 l8 + lr 1e-3, cos schedule + MSE loss</t>
  </si>
  <si>
    <t>Max learning rate should be 1e-3</t>
  </si>
  <si>
    <t>Transformer: d64 h8 l8 + lr 2e-3 + MSE loss</t>
  </si>
  <si>
    <t>Transformer: d64 h8 l8 + lr 5e-3 + MSE loss</t>
  </si>
  <si>
    <t>Transformer: d64 h8 l8 + lr 1e-2 + MSE loss</t>
  </si>
  <si>
    <t>Transformer: d128 h8 l8 + lr 5e-4, cos schedule + MSE loss + dp1 + gptEmbed</t>
  </si>
  <si>
    <t>Transformer: d128 h8 l8 + lr 5e-4, cos schedule + MSE loss + dp05 + gptEmbed</t>
  </si>
  <si>
    <t>After 10 epochs, Very bad, can not train; the max learning rate should be 5e-4</t>
  </si>
  <si>
    <t>Transformer: d128 h8 l8 + lr 5e-4, cos schedule + MSE loss + nodp + gptEmbed</t>
  </si>
  <si>
    <t>Very bad, can not train; the max learning rate should be 5e-4</t>
  </si>
  <si>
    <t>Transformer: d128 h8 l8 + lr 5e-4, cos schedule + (MSE - Cos) loss + dp1 + gptEmbed</t>
  </si>
  <si>
    <t>0.9130 &amp; 1.2107</t>
  </si>
  <si>
    <t>After 10 epochs. Very bad, can not train; the max learning rate should be 5e-4</t>
  </si>
  <si>
    <t>Transformer: d128 h8 l8 + lr 5e-5, cos schedule + (MSE - Cos) loss + dp1 + gptEmbed</t>
  </si>
  <si>
    <t>Transformer: d128 h8 l8 + lr 1e-4, cos schedule + (MSE - Cos) loss + dp1 + gptEmbed</t>
  </si>
  <si>
    <t>Transformer: d128 h8 l8 + lr 5e-5, cos schedule + MSE loss + dp1 + gptEmbed + sepGene</t>
  </si>
  <si>
    <t>Transformer: d128 h8 l8 + lr 1e-4, cos schedule + MSE loss + dp1 + gptEmbed + sepGene</t>
  </si>
  <si>
    <t>Transformer: d128 h8 l8 + lr 1e-4, cos schedule + VarMSE loss + dp1 + gptEmbed + sepGene</t>
  </si>
  <si>
    <t>1.2352 &amp; 1.0656</t>
  </si>
  <si>
    <t>Transformer: d128 h8 l8 + lr 1e-4, cos schedule + InvVarMSE loss + dp1 + gptEmbed + sepGene</t>
  </si>
  <si>
    <t>0.9091 &amp; 1.0598</t>
  </si>
  <si>
    <t>Transformer: d128 h8 l8 + lr 1e-4, cos schedule + VarMSE loss + dp1 + gptEmbed + Shared FC + sepGene</t>
  </si>
  <si>
    <t>Transformer: d128 h8 l8 + lr 1e-4, cos schedule + VarMSE loss + dp1 + gptEmbed + Shared FC + sepGene + newAttn</t>
  </si>
  <si>
    <t>Transformer: d128 h8 l8 + lr 1e-4, cos schedule + VarMSE loss + dp1 + gptEmbed + Shared FC + sepGeneEncPred + newAttn</t>
  </si>
  <si>
    <t>Valid PCC</t>
  </si>
  <si>
    <t>Valid Delta R2</t>
  </si>
  <si>
    <t>Valid Delta PCC</t>
  </si>
  <si>
    <t>Valid Delta PCC Concat version</t>
  </si>
  <si>
    <t>Got overfitting</t>
  </si>
  <si>
    <t>Transformer: d128 h8 l4 + lr 1e-4, cos schedule + VarMSE loss + dp1 + gptEmbed + Shared FC + sepGeneEncPred + newAttn</t>
  </si>
  <si>
    <t>Transformer: d128 h4 l8 + lr 1e-4, cos schedule + VarMSE loss + dp1 + gptEmbed + Shared FC + sepGeneEncPred + newAttn</t>
  </si>
  <si>
    <t>Transformer: d128 h4 l4 + lr 1e-4, cos schedule + VarMSE loss + dp1 + gptEmbed + Shared FC + sepGeneEncPred + newAttn</t>
  </si>
  <si>
    <t>Hidden Dimension 32</t>
  </si>
  <si>
    <t>Transformer: d32 h8 l8 + lr 1e-4, cos schedule + VarMSE loss + dp1 + gptEmbed + Shared FC + sepGeneEncPred + newAttn</t>
  </si>
  <si>
    <t>Transformer: d32 h4 l8 + lr 1e-4, cos schedule + MSE loss + dp1 + gptEmbed + Shared FC + sepGeneEncPred + newAttn</t>
  </si>
  <si>
    <t>Transformer: d32 h8 l4 + lr 1e-4, cos schedule + MSE loss + dp1 + gptEmbed + Shared FC + sepGeneEncPred + newAttn</t>
  </si>
  <si>
    <t>Transformer: d32 h4 l4 + lr 1e-4, cos schedule + MSE loss + dp1 + gptEmbed + Shared FC + sepGeneEncPred + newAttn</t>
  </si>
  <si>
    <t>Hidden Dimension 64</t>
  </si>
  <si>
    <t>Transformer: d64 h8 l8 + lr 1e-4, cos schedule + MSE loss + dp1 + gptEmbed + Shared FC + sepGeneEncPred + newAttn</t>
  </si>
  <si>
    <t>Transformer: d64 h4 l8 + lr 1e-4, cos schedule + MSE loss + dp1 + gptEmbed + Shared FC + sepGeneEncPred + newAttn</t>
  </si>
  <si>
    <t>Transformer: d64 h8 l4 + lr 1e-4, cos schedule + MSE loss + dp1 + gptEmbed + Shared FC + sepGeneEncPred + newAttn</t>
  </si>
  <si>
    <t>Transformer: d64 h4 l4 + lr 1e-4, cos schedule + VarMSE loss + dp1 + gptEmbed + Shared FC + sepGeneEncPred + newAttn</t>
  </si>
  <si>
    <t>Transformer: d32 h8 l4 + lr 1e-4, cos schedule +  log delta MSE loss + dp1 + gptEmbed + no Shared FC + sepGeneEncPred + newAttn</t>
  </si>
  <si>
    <t>0.0136 / 1.0480</t>
  </si>
  <si>
    <t>Transformer: d32 h8 l4 + lr 1e-4, cos schedule + log delta MSE loss + dp1 + gptEmbed + 8 dim Shared FC + sepGeneEncPred + newAttn</t>
  </si>
  <si>
    <t>0.0136 / 1.0468</t>
  </si>
  <si>
    <t>Transformer: d32 h8 l4 + lr 1e-4, cos schedule +  log delta MSE loss + dp1 + gptEmbed + 64 dim Shared FC + sepGeneEncPred + newAttn</t>
  </si>
  <si>
    <t>0.0134 / 1.0320</t>
  </si>
  <si>
    <t>Transformer: d32 h8 l4 + lr 1e-4, cos schedule +  log delta MSE loss + dp1 + gptEmbed + 64 dim Shared FC + sepGeneEncPred + newAttn + 2Encoder</t>
  </si>
  <si>
    <t>0.0133 / 1.0317</t>
  </si>
  <si>
    <t>Transformer: d32 h8 l4 + lr 1e-4, cos schedule +  log delta MSE loss + dp1 + gptEmbed + 64 dim Shared FC + sepGeneEncPred + newAttn + crossFirst</t>
  </si>
  <si>
    <t>0.0135 / 1.0330</t>
  </si>
  <si>
    <t>3 Cross attention version</t>
  </si>
  <si>
    <t>Transformer: d32 h8 l4 + lr 1e-4, cos schedule +  log delta MSE loss + dp1 + 64 dim Shared FC + sepGeneEncPred + newAttn + 3CA</t>
  </si>
  <si>
    <t>Transformer: d32 h8 l4 + lr 1e-4, cos schedule +  log delta MSE loss + dp1 + 64 dim Shared FC + sepGeneEncPred + newAttn + gptEmbed</t>
  </si>
  <si>
    <t>Transformer: d32 h8 l4 + lr 1e-4, cos schedule +  log delta MSE loss + dp1 + 64 dim Shared FC + sepGeneEncPred + newAttn + MFP</t>
  </si>
  <si>
    <t>Transformer: d32 h8 l4 + lr 1e-4, cos schedule +  log delta MSE loss + dp1 + 64 dim Shared FC + sepGeneEncPred + newAttn + DrugTarget</t>
  </si>
  <si>
    <t>Fused version</t>
  </si>
  <si>
    <t>Transformer: d32 h8 l4 + lr 1e-4, cos schedule +  log delta MSE loss + dp1 + 64 dim Shared FC + sepGeneEncPred + newAttn + Fused (gpt, MFP, Target)</t>
  </si>
  <si>
    <t>Transformer: d32 h8 l4 + lr 1e-4, cos schedule +  log delta MSE loss + dp1 + 64 dim Shared FC + sepGeneEncPred + newAttn + GatedFused (gpt, MFP, Target)</t>
  </si>
  <si>
    <t>Transformer: d32 h8 l4 + lr 1e-4, cos schedule +  delta MSE+Cor loss + dp1 + 64 dim Shared FC + sepGeneEncPred + newAttn + Fused (gpt, MFP, Target)</t>
  </si>
  <si>
    <t>Random</t>
  </si>
  <si>
    <t>0.6254 &amp; 0.7971</t>
  </si>
  <si>
    <t>0.9273 &amp; 1.0477</t>
  </si>
  <si>
    <t>Transformer: d32 h8 l4 + lr 1e-4, cos schedule +  delta MSE+Cor loss + dp1 + 64 dim Shared FC + sepGeneEncPred + newAttn + Fused (gpt, MFP, Target) + FiLM</t>
  </si>
  <si>
    <t>0.9058 &amp; 1.0324</t>
  </si>
  <si>
    <t>Transformer: d32 h8 l4 + lr 1e-4, cos schedule +  delta MSE+Cor loss + dp1 + 64 dim Shared FC + sepGeneEncPred + newAttn + Fused (gpt, MFP, Target) + FiLM + AE</t>
  </si>
  <si>
    <t>0.8937 &amp; 1.0204</t>
  </si>
  <si>
    <t>Transformer: d32 h8 l4 + lr 1e-4, cos schedule +  delta MSE+Cor loss + dp1 + 64 dim Shared FC + sepGeneEncPred + newAttn + 3XAttn (gpt, MFP, Target) + FiLM + AE</t>
  </si>
  <si>
    <t>0.8915 &amp; 1.0194</t>
  </si>
  <si>
    <t>Transformer: d32 h8 l4 + lr 1e-4, cos schedule +  delta MSE+Cor loss + dp1 + 64 dim Shared FC + sepGeneEncPred + newAttn + 3XAttn (gpt, MFP, Target) + FiLM + AE + PCAEmbed</t>
  </si>
  <si>
    <t>0.9762 &amp; 1.0906</t>
  </si>
  <si>
    <t>Transformer: d32 h8 l4 + lr 1e-4, cos schedule +  delta MSE+Cor loss + dp1 + 64 dim Shared FC + sepGeneEncPred + newAttn + 3XAttn (gpt, MFP, Target) + FiLM + AE + CellAware(mean,var)</t>
  </si>
  <si>
    <t>0.8509 &amp; 0.9934</t>
  </si>
  <si>
    <t>Transformer: d32 h8 l4 + lr 1e-4, cos schedule +  delta MSE+Cor loss + dp1 + 64 dim Shared FC + sepGeneEncPred + newAttn + 3XAttn (gpt, MFP, Target) + FiLM + AE + CellAware(mean,var) + MLP front</t>
  </si>
  <si>
    <t>0.7988 &amp; 0.9509</t>
  </si>
  <si>
    <t>Transformer: d32 h8 l4 + lr 1e-4, cos schedule +  delta MSE+Cor loss + dp1 + 64 dim Shared FC + sepGeneEncPred + newAttn + 3XAttn (gpt, MFP, Target) + FiLM + AE + CellAware(mean,var) + MLP front 3L with Skip</t>
  </si>
  <si>
    <t>0.8207 &amp; 0.9685</t>
  </si>
  <si>
    <t>Transformer: d32 h8 l4 + lr 1e-4, cos schedule +  delta MSE+Cor loss + dp1 + 64 dim Shared FC + sepGeneEncPred + newAttn + 3XAttn (gpt, MFP, Target) + FiLM + AE + CellAware(mean,var) + MLP front 3L End 3L with Skip</t>
  </si>
  <si>
    <t>0.8086 &amp; 0.9575</t>
  </si>
  <si>
    <t>Transformer: d32 h8 l4 + lr 1e-4, cos schedule +  delta MSE+Cor loss + dp1 + 64 dim Shared FC + sepGeneEncPred + newAttn + Fused (gpt, MFP, Target) + FiLM + AE + CellAware(mean,var) + MLP front end Simple</t>
  </si>
  <si>
    <t>0.8064 &amp; 0.9584</t>
  </si>
  <si>
    <t>Transformer: d32 h8 l4 + lr 1e-4, cos schedule +  delta MSE+Cor loss + dp1 + 64 dim Shared FC + sepGeneEncPred + newAttn + 3XAttn (gpt, MFP, Target) + FiLM + AE + CellAware(mean,var) + MLP front end Simple</t>
  </si>
  <si>
    <t>0.7980 &amp; 0.9498</t>
  </si>
  <si>
    <t>0.5475 &amp; 0.7339</t>
  </si>
  <si>
    <t>Transformer: d64 h8 l4 + lr 1e-4, cos schedule +  delta MSE+Cor loss + dp1 + 128 dim Shared FC + sepGeneEncPred + newAttn + 3XAttn (gpt, MFP, Target) + FiLM + AE + CellAware(mean,var) + MLP front end Simple</t>
  </si>
  <si>
    <t>0.8982 &amp; 1.0338</t>
  </si>
  <si>
    <t>Transformer: d128 h8 l4 + lr 1e-4, cos schedule +  delta MSE+Cor loss + dp1 + 256 dim Shared FC + sepGeneEncPred + newAttn + 3XAttn (gpt, MFP, Target) + FiLM + AE + CellAware(mean,var) + MLP front end Simple</t>
  </si>
  <si>
    <t>0.9385 &amp; 1.0685</t>
  </si>
  <si>
    <t>Transformer: d32 h8 l4 + lr 1e-4, cos schedule +  delta MSE+Cor loss + dp1 + 64 dim Shared FC + sepGeneEncPred + newAttn + 3XAttn (gpt, MFP, Target) + FiLM + AE + CellAware(mean,var) + MLP front end Simple + GraphEmbedding</t>
  </si>
  <si>
    <t>0.8274 &amp; 0.9744</t>
  </si>
  <si>
    <t>Transformer: d32 h8 l4 + lr 1e-4, cos schedule +  delta MSE+Cor loss + dp1 + 64 dim Shared FC + sepGeneEncPred + newAttn + 3XAttn (gpt, MFP, Target) + FiLM + AE + CellAware(mean,var) + MLP front end Simple + GraphEmbeddingMLP</t>
  </si>
  <si>
    <t>0.8132 &amp; 0.9633</t>
  </si>
  <si>
    <t>Transformer: d32 h8 l4 + lr 1e-4, cos schedule +  delta MSE+Cor loss + dp1 + 64 dim Shared FC + sepGeneEncPred + newAttn + 3XAttn (gpt, MFP, Target) + FiLM + AE + CellAware(mean,var) + MLP front end Simple + PostDrugAttn</t>
  </si>
  <si>
    <t>0.8089 &amp; 0.9591</t>
  </si>
  <si>
    <t>Transformer: d32 h8 l4 + lr 1e-4, cos schedule +  delta MSE+Cor loss + dp1 + 64 dim Shared FC + sepGeneEncPred + newAttn + 3XAttn (gpt, MFP, Target) + FiLM + AE + CellAware(mean,var) + MLP front end Simple + 2PostDrugAttn</t>
  </si>
  <si>
    <t>0.8321 &amp; 0.9778</t>
  </si>
  <si>
    <t>Transformer: d32 h8 l4 + lr 1e-4, cos schedule +  delta MSE+Cor loss + dp1 + 64 dim Shared FC + sepGeneEncPred + newAttn + 3XAttn (gpt, MFP, Target) + FiLM + AE + CellAware(mean,var) + MLP front end Simple + 4PostDrugAttn</t>
  </si>
  <si>
    <t>0.8208 &amp; 0.9687</t>
  </si>
  <si>
    <t>Transformer: d32 h8 l4 + lr 1e-4, cos schedule +  delta MSE+0.15Cor loss + dp1 + 64 dim Shared FC + sepGeneEncPred + newAttn + 3XAttn (gpt, MFP, Target) + FiLM + AE + CellAware(mean,var) + MLP front end Simple</t>
  </si>
  <si>
    <t>0.8855 &amp; 0.9604</t>
  </si>
  <si>
    <t>Transformer: d32 h8 l4 + lr 1e-4, cos schedule +  delta MSE+0.6Cor loss + dp1 + 64 dim Shared FC + sepGeneEncPred + newAttn + 3XAttn (gpt, MFP, Target) + FiLM + AE + CellAware(mean,var) + MLP front end Simple</t>
  </si>
  <si>
    <t>0.6551 &amp; 0.9589</t>
  </si>
  <si>
    <t>Transformer: d32 h8 l4 + lr 1e-4, cos schedule +  delta MSE+1Cor loss + dp1 + 64 dim Shared FC + sepGeneEncPred + newAttn + 3XAttn (gpt, MFP, Target) + FiLM + AE + CellAware(mean,var) + MLP front end Simple</t>
  </si>
  <si>
    <t>0.4486 &amp; 0.9573</t>
  </si>
  <si>
    <t>Transformer: d32 h8 l4 + lr 1e-4, cos schedule +  delta MSE+2Cor loss + dp1 + 64 dim Shared FC + sepGeneEncPred + newAttn + 3XAttn (gpt, MFP, Target) + FiLM + AE + CellAware(mean,var) + MLP front end Simple</t>
  </si>
  <si>
    <t>-0.0089 &amp; 0.9874</t>
  </si>
  <si>
    <t>Dropout 0.2</t>
  </si>
  <si>
    <t>Transformer: d32 h8 l4 + lr 1e-4, cos schedule +  delta MSE+0.3Cor loss + dp2 + 64 dim Shared FC + sepGeneEncPred + newAttn + 3XAttn (gpt, MFP, Target) + FiLM + AE + CellAware(mean,var) + MLP front end Simple</t>
  </si>
  <si>
    <t>0.5503 &amp; 0.7362</t>
  </si>
  <si>
    <t>Dual self Attn</t>
  </si>
  <si>
    <t>Transformer: d32 h8 l4 + lr 1e-4, cos schedule +  delta MSE+0.3Cor loss + dp1 + 64 dim Shared FC + sepGeneEncPred + newAttn + 3XAttn (gpt, MFP, Target) + FiLM + AE + CellAware(mean,var) + MLP front end Simple + Dual Self Attn</t>
  </si>
  <si>
    <t>0.6563 &amp; 0.8218</t>
  </si>
  <si>
    <t>Self Attn Later</t>
  </si>
  <si>
    <t>Transformer: d32 h8 l4 + lr 1e-4, cos schedule +  delta MSE+0.3Cor loss + dp1 + 64 dim Shared FC + sepGeneEncPred + newAttn + 3XAttn (gpt, MFP, Target) + FiLM + AE + CellAware(mean,var) + MLP front end Simple + Self Attn Later</t>
  </si>
  <si>
    <t>0.5522 &amp; 0.7382</t>
  </si>
  <si>
    <t>Post Attn FiLM</t>
  </si>
  <si>
    <t>Transformer: d32 h8 l4 + lr 1e-4, cos schedule +  delta MSE+0.3Cor loss + dp1 + 64 dim Shared FC + sepGeneEncPred + newAttn + 3XAttn (gpt, MFP, Target) + FiLM + AE + CellAware(mean,var) + MLP front end Simple + Post Attn FiLM</t>
  </si>
  <si>
    <t>0.5473 &amp; 0.7340</t>
  </si>
  <si>
    <t>Best in Random Jun 23.</t>
  </si>
  <si>
    <t>0.7945 &amp; 0.9471</t>
  </si>
  <si>
    <t>Deeper FiLM</t>
  </si>
  <si>
    <t>Transformer: d32 h8 l4 + lr 1e-4, cos schedule +  delta MSE+0.3Cor loss + dp1 + 64 dim Shared FC + sepGeneEncPred + newAttn + 3XAttn (gpt, MFP, Target) + FiLM + AE + CellAware(mean,var) + MLP front end Simple + Post Attn FiLM Deep</t>
  </si>
  <si>
    <t>0.7942 &amp; 0.9468</t>
  </si>
  <si>
    <t>Transformer: d32 h8 l4 + lr 1e-4, cos schedule +  delta MSE+0.3Cor loss + dp1 + 64 dim Shared FC + sepGeneEncPred + newAttn + 3XAttn (gpt, MFP, Target) + FiLM + AE + CellAware(mean,var) + MLP front end Simple + Post Attn FiLM Deep + all DropOut</t>
  </si>
  <si>
    <t>0.9288 &amp; 1.0657</t>
  </si>
  <si>
    <t>Different Loss</t>
  </si>
  <si>
    <t>Transformer: d32 h8 l4 + lr 1e-4, cos schedule +  delta MSE + dp1 + 64 dim Shared FC + sepGeneEncPred + newAttn + 3XAttn (gpt, MFP, Target) + FiLM + AE + CellAware(mean,var) + MLP front end Simple + Post Attn FiLM Deep</t>
  </si>
  <si>
    <t>Transformer: d32 h8 l4 + lr 1e-4, cos schedule +  delta MSE+Sign + dp1 + 64 dim Shared FC + sepGeneEncPred + newAttn + 3XAttn (gpt, MFP, Target) + FiLM + AE + CellAware(mean,var) + MLP front end Simple + Post Attn FiLM Deep</t>
  </si>
  <si>
    <t>1.2844 &amp; 0.9629</t>
  </si>
  <si>
    <t>Transformer: d32 h8 l4 + lr 1e-4, cos schedule +  delta MSE+Tanh + dp1 + 64 dim Shared FC + sepGeneEncPred + newAttn + 3XAttn (gpt, MFP, Target) + FiLM + AE + CellAware(mean,var) + MLP front end Simple + Post Attn FiLM Deep</t>
  </si>
  <si>
    <t>1.0482 &amp; 0.9419</t>
  </si>
  <si>
    <t>Transformer: d32 h8 l4 + lr 1e-4, cos schedule +  delta MSE+0.3Cor+Tanh loss + dp1 + 64 dim Shared FC + sepGeneEncPred + newAttn + 3XAttn (gpt, MFP, Target) + FiLM + AE + CellAware(mean,var) + MLP front end Simple + Post Attn FiLM Deep</t>
  </si>
  <si>
    <t>0.8706 &amp; 0.9563</t>
  </si>
  <si>
    <t>Transformer: d32 h8 l4 + lr 1e-4, cos schedule +  delta MSE+0.3Cor+Sign loss + dp1 + 64 dim Shared FC + sepGeneEncPred + newAttn + 3XAttn (gpt, MFP, Target) + FiLM + AE + CellAware(mean,var) + MLP front end Simple + Post Attn FiLM Deep</t>
  </si>
  <si>
    <t>1.1112 &amp; 0.9593</t>
  </si>
  <si>
    <t>Drug features importance</t>
  </si>
  <si>
    <t>Transformer: d32 h8 l4 + lr 1e-4, cos schedule +  delta MSE+0.3Cor loss + dp1 + 64 dim Shared FC + sepGeneEncPred + newAttn + 3XAttn (gpt, MFP, Target) + FiLM + AE + CellAware(mean,var) + MLP front end Simple + Post Attn FiLM Deep + Mute LLM</t>
  </si>
  <si>
    <t>0.8063 &amp; 0.9577</t>
  </si>
  <si>
    <t>Transformer: d32 h8 l4 + lr 1e-4, cos schedule +  delta MSE+0.3Cor loss + dp1 + 64 dim Shared FC + sepGeneEncPred + newAttn + 3XAttn (gpt, MFP, Target) + FiLM + AE + CellAware(mean,var) + MLP front end Simple + Post Attn FiLM Deep + MuteMFP</t>
  </si>
  <si>
    <t>0.8029 &amp; 0.9543</t>
  </si>
  <si>
    <t>Transformer: d32 h8 l4 + lr 1e-4, cos schedule +  delta MSE+0.3Cor loss + dp1 + 64 dim Shared FC + sepGeneEncPred + newAttn + 3XAttn (gpt, MFP, Target) + FiLM + AE + CellAware(mean,var) + MLP front end Simple + Post Attn FiLM Deep + MuteDrugTgt</t>
  </si>
  <si>
    <t>0.7907 &amp; 0.9439</t>
  </si>
  <si>
    <t>Transformer: d32 h8 l4 + lr 1e-4, cos schedule +  delta MSE+0.3Cor loss + dp1 + 64 dim Shared FC + sepGeneEncPred + newAttn + 3XAttn (gpt, MFP, Target) + FiLM + AE + CellAware(mean,var) + MLP front end Simple + Post Attn FiLM Deep + only LLM</t>
  </si>
  <si>
    <t>0.8119 &amp; 0.9622</t>
  </si>
  <si>
    <t>Transformer: d32 h8 l4 + lr 1e-4, cos schedule +  delta MSE+0.3Cor loss + dp1 + 64 dim Shared FC + sepGeneEncPred + newAttn + 3XAttn (gpt, MFP, Target) + FiLM + AE + CellAware(mean,var) + MLP front end Simple + Post Attn FiLM Deep + only MFP</t>
  </si>
  <si>
    <t>0.8097 &amp; 0.9594</t>
  </si>
  <si>
    <t>Transformer: d32 h8 l4 + lr 1e-4, cos schedule +  delta MSE+0.3Cor loss + dp1 + 64 dim Shared FC + sepGeneEncPred + newAttn + 3XAttn (gpt, MFP, Target) + FiLM + AE + CellAware(mean,var) + MLP front end Simple + Post Attn FiLM Deep + onlyDrugTgt</t>
  </si>
  <si>
    <t>0.8490 &amp; 0.9942</t>
  </si>
  <si>
    <t>Seems Drug Target is a noise source of the drug features.</t>
  </si>
  <si>
    <t>Best Combo</t>
  </si>
  <si>
    <t>Transformer: d32 h8 l4 + lr 1e-4, cos schedule +  delta MSE+Tanh loss + dp1 + 64 dim Shared FC + sepGeneEncPred + newAttn + 2XAttn (gpt, MFP) + FiLM + AE + CellAware(mean,var) + MLP front end Simple + Post Attn FiLM Deep</t>
  </si>
  <si>
    <t>1.0631 &amp; 0.9558</t>
  </si>
  <si>
    <t>Skip Self X attn</t>
  </si>
  <si>
    <t>Transformer: d32 h8 l4 + lr 1e-4, cos schedule +  delta MSE+Cor + dp1 + 64 dim Shared FC + sepGeneEncPred + newAttn + 3XAttn (gpt, MFP, Target) + FiLM + AE + CellAware(mean,var) + MLP front end Simple + Post Attn FiLM Deep + Skip SX Attn</t>
  </si>
  <si>
    <t>0.8096 &amp; 0.9594</t>
  </si>
  <si>
    <t>Deeper Denoising AE</t>
  </si>
  <si>
    <t>Transformer: d32 h8 l4 + lr 1e-4, cos schedule +  delta MSE+Tanh + dp1 + 64 dim Shared FC + sepGeneEncPred + newAttn + 3XAttn (gpt, MFP, Target) + FiLM + DEEP AE + CellAware(mean,var) + MLP front end Simple + Post Attn FiLM Deep</t>
  </si>
  <si>
    <t>1.0687 &amp; 0.9599</t>
  </si>
  <si>
    <t>Diff Post Xattn FiLM Structure</t>
  </si>
  <si>
    <t>Transformer: d32 h8 l4 + lr 1e-4, cos schedule +  delta MSE+Cor + dp1 + 64 dim Shared FC + sepGeneEncPred + newAttn + 3XAttn (gpt, MFP, Target) + FiLM + AE + CellAware(mean,var) + MLP front end Simple + Post Attn FiLM Deep Hid64</t>
  </si>
  <si>
    <t>0.8062 &amp; 0.9567</t>
  </si>
  <si>
    <t>Transformer: d32 h8 l4 + lr 1e-4, cos schedule +  delta MSE+Cor + dp1 + 64 dim Shared FC + sepGeneEncPred + newAttn + 3XAttn (gpt, MFP, Target) + FiLM + AE + CellAware(mean,var) + MLP front end Simple + Post Attn FiLM Deep Hid 256</t>
  </si>
  <si>
    <t>0.8030 &amp; 0.9547</t>
  </si>
  <si>
    <t>Transformer: d32 h8 l4 + lr 1e-4, cos schedule +  delta MSE+Cor + dp1 + 64 dim Shared FC + sepGeneEncPred + newAttn + 3XAttn (gpt, MFP, Target) + FiLM + AE + CellAware(mean,var) + MLP front end Simple + Post Attn FiLM Deep 3L</t>
  </si>
  <si>
    <t>0.8120 &amp; 0.9612</t>
  </si>
  <si>
    <t>Diff Shared FFN Structure</t>
  </si>
  <si>
    <t>Transformer: d32 h8 l4 + lr 1e-4, cos schedule +  delta MSE+Cor + dp1 + 64 dim Shared FC Normed + sepGeneEncPred + newAttn + 3XAttn (gpt, MFP, Target) + FiLM + AE + CellAware(mean,var) + MLP front end Simple + Post Attn FiLM Deep</t>
  </si>
  <si>
    <t>0.8348 &amp; 0.9822</t>
  </si>
  <si>
    <t>Transformer: d32 h8 l4 + lr 1e-4, cos schedule +  delta MSE+Cor + dp1 + 64 dim Shared FC SwiGLU + sepGeneEncPred + newAttn + 3XAttn (gpt, MFP, Target) + FiLM + AE + CellAware(mean,var) + MLP front end Simple + Post Attn FiLM Deep</t>
  </si>
  <si>
    <t>0.8085 &amp; 0.9594</t>
  </si>
  <si>
    <t>Transformer: d32 h8 l4 + lr 1e-4, cos schedule +  delta MSE+Cor + dp1 + 32 dim Shared FC + sepGeneEncPred + newAttn + 3XAttn (gpt, MFP, Target) + FiLM + AE + CellAware(mean,var) + MLP front end Simple + Post Attn FiLM Deep</t>
  </si>
  <si>
    <t>0.8177 &amp; 0.9680</t>
  </si>
  <si>
    <t>Transformer: d32 h8 l4 + lr 1e-4, cos schedule +  delta MSE+Cor + dp1 + 128 dim Shared FC + sepGeneEncPred + newAttn + 3XAttn (gpt, MFP, Target) + FiLM + AE + CellAware(mean,var) + MLP front end Simple + Post Attn FiLM Deep</t>
  </si>
  <si>
    <t>0.8025 &amp; 0.9548</t>
  </si>
  <si>
    <t>Transformer: d32 h8 l4 + lr 1e-4, cos schedule +  delta MSE+Cor + dp1 + 64 dim Shared FC depth2 + sepGeneEncPred + newAttn + 3XAttn (gpt, MFP, Target) + FiLM + AE + CellAware(mean,var) + MLP front end Simple + Post Attn FiLM Deep</t>
  </si>
  <si>
    <t>0.8031 &amp; 0.9544</t>
  </si>
  <si>
    <t>Transformer: d32 h8 l4 + lr 1e-4, cos schedule +  delta MSE+Cor + dp1 + 128 dim Shared FC depth4 + sepGeneEncPred + newAttn + 3XAttn (gpt, MFP, Target) + FiLM + AE + CellAware(mean,var) + MLP front end Simple + Post Attn FiLM Deep</t>
  </si>
  <si>
    <t>0.7980 &amp; 0.9500</t>
  </si>
  <si>
    <t>Epoch range</t>
  </si>
  <si>
    <t>Set</t>
  </si>
  <si>
    <t>R2</t>
  </si>
  <si>
    <t>PCC</t>
  </si>
  <si>
    <t>Delta R2</t>
  </si>
  <si>
    <t>Delta PCC</t>
  </si>
  <si>
    <t>Delta PCC Concat version</t>
  </si>
  <si>
    <t>1-00</t>
  </si>
  <si>
    <t>Validation</t>
  </si>
  <si>
    <t>Baseline, X as Y_pred</t>
  </si>
  <si>
    <t>Whole dataset; 80/10/10 split</t>
  </si>
  <si>
    <t>Cell 2</t>
  </si>
  <si>
    <t>0.8029 &amp; 0.9768</t>
  </si>
  <si>
    <t>1h 18m 50s 400ms per epoch</t>
  </si>
  <si>
    <t>51-100</t>
  </si>
  <si>
    <t>0.7973 &amp; 0.9724</t>
  </si>
  <si>
    <t>Test</t>
  </si>
  <si>
    <t>Transformer: d32 h8 l4 + lr 1e-4, cos schedule +  delta MSE+Cor loss + dp1 + 64 dim Shared FC + sepGeneEncPred + newAttn + 3XAttn (gpt, MFP, Target) + FiLM + AE + CellAware(mean,var) + MLP front end Simple + DirectInput</t>
  </si>
  <si>
    <t>UNK</t>
  </si>
  <si>
    <t>0.7991 &amp; 0.9733</t>
  </si>
  <si>
    <t>1h 50m 11s 760ms per epoch</t>
  </si>
  <si>
    <t>43 - 86</t>
  </si>
  <si>
    <t>0.7948 &amp; 0.9696</t>
  </si>
  <si>
    <t>0.8355 &amp; 1.0074</t>
  </si>
  <si>
    <t>Transformer: d32 h8 l4 + lr 1e-4, cos schedule +  delta MSE+Cor loss + dp1 + 64 dim Shared FC + sepGeneEncPred + newAttn + 3XAttn (gpt, MFP, Target) + FiLM + AE + CellAware(mean,var) + MLP front end Simple + InputIntoAE</t>
  </si>
  <si>
    <t>0.7950 &amp; 0.9693</t>
  </si>
  <si>
    <t>0.8289 &amp; 1.0018</t>
  </si>
  <si>
    <t>0.7939 &amp; 0.9689</t>
  </si>
  <si>
    <t>Transformer: d32 h8 l4 + lr 1e-4, cos schedule +  delta MSE+Cor loss + dp1 + 64 dim Shared FC + sepGeneEncPred + newAttn + 3XAttn (gpt, MFP, Target) + FiLM + AE + CellAware(mean,var) + MLP front end Simple + DoseTimeAsScalarAfterAE</t>
  </si>
  <si>
    <t>0.7978 &amp; 0.9725</t>
  </si>
  <si>
    <t>0.8265 &amp; 0.9993</t>
  </si>
  <si>
    <t>0.7971 &amp; 0.9721</t>
  </si>
  <si>
    <t>Transformer: d32 h8 l4 + lr 1e-4, cos schedule +  delta MSE+Cor loss + dp1 + 64 dim Shared FC + sepGeneEncPred + newAttn + 3XAttn (gpt, MFP, Target) + FiLM + AE + CellAware(mean,var) + MLP front end Simple + DoseTimeAsScalarXAttns</t>
  </si>
  <si>
    <t>0.7911 &amp; 0.9669</t>
  </si>
  <si>
    <t>0.8197 &amp; 0.9939</t>
  </si>
  <si>
    <t>0.7861 &amp; 0.9623</t>
  </si>
  <si>
    <t>Transformer: d32 h8 l4 + lr 1e-4, cos schedule +  delta MSE+Cor loss + dp1 + 64 dim Shared FC + sepGeneEncPred + newAttn + 3XAttn (gpt, MFP, Target) + FiLM + AE + CellAware(mean,var) + MLP front end Simple + DoseTimeAsScalarXAttns + only LLMMFP</t>
  </si>
  <si>
    <t>0.7939 &amp; 0.9688</t>
  </si>
  <si>
    <t>The training process is not stable as the one used all 3 types of drug features. Only have 1 minutes advantages training 1 epoch over the other.</t>
  </si>
  <si>
    <t>50-100</t>
  </si>
  <si>
    <t>Same as above</t>
  </si>
  <si>
    <t>Transformer: d32 h8 l4 + lr 1e-4, cos schedule +  delta MSE+Tanh loss + dp1 + 64 dim Shared FC + sepGeneEncPred + newAttn + 3XAttn (gpt, MFP, Target) + FiLM + AE + CellAware(mean,var) + MLP front end Simple + DoseTimeAsScalarXAttns + only LLMMFP</t>
  </si>
  <si>
    <t>1.0850 &amp; 0.9769</t>
  </si>
  <si>
    <t>Transformer: d32 h8 l4 + lr 1e-4, cos schedule +  delta MSE+Cor loss + dp1 + 64 dim Shared FC + sepGeneEncPred + newAttn + 3XAttn (gpt, MFP, Target) + FiLM + AE + CellAware(mean,var) + MLP front end Simple + DoseTimeAsScalarFinalOutput</t>
  </si>
  <si>
    <t>0.8067 &amp; 0.9805</t>
  </si>
  <si>
    <t>0.8383 &amp; 1.0101</t>
  </si>
  <si>
    <t>0.8001 &amp; 0.9751</t>
  </si>
  <si>
    <t>PRNet</t>
  </si>
  <si>
    <t>Transformer: d32 h8 l4 + lr 1e-4, cos schedule +  delta MSE+Cor loss + dp1 + 64 dim Shared FC + sepGeneEncPred + newAttn + 3XAttn (gpt, MFP, Target) + FiLM + Enc2DimReducLa128 + CellAware(mean,var) + MLP front end Simple + DoseTimeAsScalarFinalOutput</t>
  </si>
  <si>
    <t>0.7989 &amp; 0.9728</t>
  </si>
  <si>
    <t>Transformer: d32 h8 l4 + lr 1e-4, cos schedule +  delta MSE+Cor loss + dp1 + 64 dim Shared FC + sepGeneEncPred + newAttn + 3XAttn (gpt, MFP, Target) + FiLM + Enc2DimReducLa64 + CellAware(mean,var) + MLP front end Simple + DoseTimeAsScalarFinalOutput</t>
  </si>
  <si>
    <t>0.8008 &amp; 0.9754</t>
  </si>
  <si>
    <t>Transformer: d32 h8 l4 + lr 1e-4, cos schedule +  delta MSE+Cor loss + dp1 + 64 dim Shared FC + sepGeneEncPred + newAttn + 3XAttn (gpt, MFP, Target) + FiLM + Enc3DimReducLa128 + CellAware(mean,var) + MLP front end Simple + DoseTimeAsScalarFinalOutput</t>
  </si>
  <si>
    <t>0.7883 &amp; 0.9638</t>
  </si>
  <si>
    <t>Transformer: d32 h8 l4 + lr 1e-4, cos schedule +  delta MSE+Cor loss + dp1 + 64 dim Shared FC + sepGeneEncPred + newAttn + 3XAttn (gpt, MFP, Target) + FiLM + Enc3DimReducLa64 + CellAware(mean,var) + MLP front end Simple + DoseTimeAsScalarFinalOutput</t>
  </si>
  <si>
    <t>0.8039 &amp; 0.9786</t>
  </si>
  <si>
    <t>Transformer: d32 h8 l4 + lr 1e-4, cos schedule +  delta MSE+Cor loss + dp1 + 64 dim Shared FC + sepGeneEncPred + newAttn + 3XAttn (gpt, MFP, Target) + FiLM + Enc2DimReducLa256 + CellAware(mean,var) + MLP front end Simple + DoseTimeAsScalarFinalOutput</t>
  </si>
  <si>
    <t>0.8023 &amp; 0.9770</t>
  </si>
  <si>
    <t>Transformer: d32 h8 l4 + lr 1e-4, cos schedule +  delta MSE+Cor loss + dp1 + 64 dim Shared FC + sepGeneEncPred + newAttn + 3XAttn (gpt, MFP, Target) + FiLM + Enc3DimReducLa256 + CellAware(mean,var) + MLP front end Simple + DoseTimeAsScalarFinalOutput</t>
  </si>
  <si>
    <t>0.7961 &amp; 0.9713</t>
  </si>
  <si>
    <t>Fine tuning the transformer FF dim</t>
  </si>
  <si>
    <t>FFdim 64</t>
  </si>
  <si>
    <t>0.8083 &amp; 0.9815</t>
  </si>
  <si>
    <t>FFdim 128</t>
  </si>
  <si>
    <t>0.8050 &amp; 0.9782</t>
  </si>
  <si>
    <t>FFdim 256</t>
  </si>
  <si>
    <t>0.7981 &amp; 0.9724</t>
  </si>
  <si>
    <t>FFdim 512</t>
  </si>
  <si>
    <t>0.8033 &amp; 0.9769</t>
  </si>
  <si>
    <t>FFdim 1024</t>
  </si>
  <si>
    <t>0.7979 &amp; 0.9727</t>
  </si>
  <si>
    <t>FFdim 2048</t>
  </si>
  <si>
    <t>0.8058 &amp; 0.9734</t>
  </si>
  <si>
    <t>MSE</t>
  </si>
  <si>
    <r>
      <rPr>
        <b val="1"/>
        <sz val="10"/>
        <color indexed="8"/>
        <rFont val="Helvetica Neue"/>
      </rPr>
      <t xml:space="preserve">Transformer: d32 h8 l4 + lr 1e-4, cos schedule +  delta MSE+Cor loss + dp1 + 64 dim Shared FC + sepGeneEncPred + newAttn + 3XAttn (gpt, MFP, Target) + FiLM + </t>
    </r>
    <r>
      <rPr>
        <b val="1"/>
        <sz val="10"/>
        <color indexed="13"/>
        <rFont val="Helvetica Neue"/>
      </rPr>
      <t>AE</t>
    </r>
    <r>
      <rPr>
        <b val="1"/>
        <sz val="10"/>
        <color indexed="8"/>
        <rFont val="Helvetica Neue"/>
      </rPr>
      <t xml:space="preserve"> + CellAware(mean,var) + MLP front end Simple + DoseTimeAsScalarXAttns + </t>
    </r>
    <r>
      <rPr>
        <b val="1"/>
        <sz val="10"/>
        <color indexed="13"/>
        <rFont val="Helvetica Neue"/>
      </rPr>
      <t>3 drug features</t>
    </r>
  </si>
  <si>
    <r>
      <rPr>
        <b val="1"/>
        <sz val="10"/>
        <color indexed="8"/>
        <rFont val="Helvetica Neue"/>
      </rPr>
      <t xml:space="preserve">Transformer: d32 h8 l4 + lr 1e-4, cos schedule +  delta MSE+Cor loss + dp1 + 64 dim Shared FC + sepGeneEncPred + newAttn + 3XAttn (gpt, MFP, Target) + FiLM + </t>
    </r>
    <r>
      <rPr>
        <b val="1"/>
        <sz val="10"/>
        <color indexed="13"/>
        <rFont val="Helvetica Neue"/>
      </rPr>
      <t>Enc3DimReducLa128</t>
    </r>
    <r>
      <rPr>
        <b val="1"/>
        <sz val="10"/>
        <color indexed="8"/>
        <rFont val="Helvetica Neue"/>
      </rPr>
      <t xml:space="preserve"> + CellAware(mean,var) + MLP front end Simple + DoseTimeAsScalarFinalOutput + </t>
    </r>
    <r>
      <rPr>
        <b val="1"/>
        <sz val="10"/>
        <color indexed="13"/>
        <rFont val="Helvetica Neue"/>
      </rPr>
      <t>3 drug features</t>
    </r>
  </si>
  <si>
    <t>0.7852 &amp; 0.9618</t>
  </si>
  <si>
    <r>
      <rPr>
        <b val="1"/>
        <sz val="10"/>
        <color indexed="8"/>
        <rFont val="Helvetica Neue"/>
      </rPr>
      <t xml:space="preserve">The choice of our final model is: Transformer: d32 h8 l4 + lr 1e-4, cos schedule +  delta MSE+Cor loss + dp1 + 64 dim Shared FC + sepGeneEncPred + newAttn + 2XAttn (gpt, MFP) + FiLM + </t>
    </r>
    <r>
      <rPr>
        <b val="1"/>
        <sz val="10"/>
        <color indexed="13"/>
        <rFont val="Helvetica Neue"/>
      </rPr>
      <t>Enc3DimReducLa128</t>
    </r>
    <r>
      <rPr>
        <b val="1"/>
        <sz val="10"/>
        <color indexed="8"/>
        <rFont val="Helvetica Neue"/>
      </rPr>
      <t xml:space="preserve"> + CellAware(mean,var) + MLP front end Simple + </t>
    </r>
    <r>
      <rPr>
        <b val="1"/>
        <sz val="10"/>
        <color indexed="13"/>
        <rFont val="Helvetica Neue"/>
      </rPr>
      <t>LLMMFP</t>
    </r>
    <r>
      <rPr>
        <b val="1"/>
        <sz val="10"/>
        <color indexed="8"/>
        <rFont val="Helvetica Neue"/>
      </rPr>
      <t xml:space="preserve"> + DoseTimeAsScalarFinalOutput</t>
    </r>
  </si>
  <si>
    <t>Cell Split</t>
  </si>
  <si>
    <t>Epoch 1-50</t>
  </si>
  <si>
    <t>Cell Split 1</t>
  </si>
  <si>
    <t>0.7608 &amp; 0.9287</t>
  </si>
  <si>
    <t>Cell Split 2</t>
  </si>
  <si>
    <t>39-88</t>
  </si>
  <si>
    <t>0.7938 &amp; 0.9688</t>
  </si>
  <si>
    <t>Cell Split 3</t>
  </si>
  <si>
    <t>0.7496 &amp; 0.9158</t>
  </si>
  <si>
    <t>Cell Split 4</t>
  </si>
  <si>
    <t>0.8302 &amp; 0.9991</t>
  </si>
  <si>
    <t>Cell Split 5</t>
  </si>
  <si>
    <t>0.7280 &amp; 0.8976</t>
  </si>
  <si>
    <t>Epoch 51-100</t>
  </si>
  <si>
    <t>0.7509 &amp; 0.9200</t>
  </si>
  <si>
    <t>0.7910 &amp; 0.9667</t>
  </si>
  <si>
    <t>0.7480 &amp; 0.9144</t>
  </si>
  <si>
    <t>No improvement from further training</t>
  </si>
  <si>
    <t>0.7234 &amp; 0.8935</t>
  </si>
  <si>
    <t>0.9514 &amp; 1.1199</t>
  </si>
  <si>
    <t>0.8304 &amp; 1.0033</t>
  </si>
  <si>
    <t>0.7766 &amp; 0.9452</t>
  </si>
  <si>
    <t>0.7066 &amp; 0.8770</t>
  </si>
  <si>
    <t>0.8437 &amp; 1.0134</t>
  </si>
  <si>
    <t>Mean</t>
  </si>
  <si>
    <t>STD</t>
  </si>
  <si>
    <t>Drug Split</t>
  </si>
  <si>
    <t>Drug Split 1</t>
  </si>
  <si>
    <t>0.6375 &amp; 0.8196</t>
  </si>
  <si>
    <t>Drug Split 2</t>
  </si>
  <si>
    <t>0.6301 &amp; 0.8133</t>
  </si>
  <si>
    <t>Drug Split 3</t>
  </si>
  <si>
    <t>0.6569 &amp; 0.8432</t>
  </si>
  <si>
    <t>Drug Split 4</t>
  </si>
  <si>
    <t>0.6433 &amp; 0.8261</t>
  </si>
  <si>
    <t>Drug Split 5</t>
  </si>
  <si>
    <t>0.6504 &amp; 0.8343</t>
  </si>
  <si>
    <t>0.6204 &amp; 0.8052</t>
  </si>
  <si>
    <t>0.6141 &amp; 0.7999</t>
  </si>
  <si>
    <t>0.6483 &amp; 0.8363</t>
  </si>
  <si>
    <t>0.6285 &amp; 0.8138</t>
  </si>
  <si>
    <t>0.6363 &amp; 0.8224</t>
  </si>
  <si>
    <t>0.6131 &amp; 0.7979</t>
  </si>
  <si>
    <t>0.6402 &amp; 0.8259</t>
  </si>
  <si>
    <t>0.6074 &amp; 0.7936</t>
  </si>
  <si>
    <t>0.6309 &amp; 0.8160</t>
  </si>
  <si>
    <t>0.6215 &amp; 0.8070</t>
  </si>
  <si>
    <t>Epoch 101-150</t>
  </si>
  <si>
    <t>101-150</t>
  </si>
  <si>
    <t>0.6128 &amp; 0.7990</t>
  </si>
  <si>
    <t>0.6070 &amp; 0.7941</t>
  </si>
  <si>
    <t>0.6221 &amp; 0.8085</t>
  </si>
  <si>
    <t>0.6338 &amp; 0.8203</t>
  </si>
  <si>
    <t>0.6055 &amp; 0.7915</t>
  </si>
  <si>
    <t>0.6337 &amp; 0.8206</t>
  </si>
  <si>
    <t>Overfitting issue.</t>
  </si>
  <si>
    <t>0.6246 &amp; 0.8108</t>
  </si>
  <si>
    <t>0.6170 &amp; 0.8033</t>
  </si>
  <si>
    <t>Epoch 151-200</t>
  </si>
  <si>
    <t>151-200</t>
  </si>
  <si>
    <t>0.6092 &amp; 0.7959</t>
  </si>
  <si>
    <t>0.6020 &amp; 0.7898</t>
  </si>
  <si>
    <t>0.6178 &amp; 0.8049</t>
  </si>
  <si>
    <t>0.6269 &amp; 0.8147</t>
  </si>
  <si>
    <t>0.6013 &amp; 0.7882</t>
  </si>
  <si>
    <t>Random Split</t>
  </si>
  <si>
    <t>Random Split 1</t>
  </si>
  <si>
    <t>0.6145 &amp; 0.8019</t>
  </si>
  <si>
    <t>Random Split 2</t>
  </si>
  <si>
    <t>0.6174 &amp; 0.8049</t>
  </si>
  <si>
    <t>Random Split 3</t>
  </si>
  <si>
    <t>0.6089 &amp; 0.7970</t>
  </si>
  <si>
    <t>Random Split 4</t>
  </si>
  <si>
    <t>0.6115 &amp; 0.7988</t>
  </si>
  <si>
    <t>Random Split 5</t>
  </si>
  <si>
    <t>0.6234 &amp; 0.8102</t>
  </si>
  <si>
    <t>0.5973 &amp; 0.7874</t>
  </si>
  <si>
    <t>0.6011 &amp; 0.7911</t>
  </si>
  <si>
    <t>0.5940 &amp; 0.7843</t>
  </si>
  <si>
    <t>0.5948 &amp; 0.7846</t>
  </si>
  <si>
    <t>0.6066 &amp; 0.7962</t>
  </si>
  <si>
    <t>0.5998&amp; 0.7897</t>
  </si>
  <si>
    <t>0.5955 &amp; 0.7856</t>
  </si>
  <si>
    <t>0.5958 &amp; 0.7861</t>
  </si>
  <si>
    <t>0.6037 &amp; 0.7936</t>
  </si>
  <si>
    <t>0.6037 &amp; 0.7935</t>
  </si>
  <si>
    <t>0.5885 &amp; 0.7800</t>
  </si>
  <si>
    <t>0.5938 &amp; 0.7851</t>
  </si>
  <si>
    <t>0.5862 &amp; 0.7778</t>
  </si>
  <si>
    <t>0.5881 &amp; 0.7792</t>
  </si>
  <si>
    <t>0.5989 &amp; 0.7897</t>
  </si>
  <si>
    <t>0.5911 &amp; 0.7823</t>
  </si>
  <si>
    <t>0.5885 &amp; 0.7799</t>
  </si>
  <si>
    <t>0.5884 &amp; 0.7800</t>
  </si>
  <si>
    <t>0.5966 &amp; 0.7877</t>
  </si>
  <si>
    <t>0.5966 &amp; 0.7875</t>
  </si>
  <si>
    <t>0.5828 &amp; 0.7752</t>
  </si>
  <si>
    <t>0.5886 &amp; 0.7808</t>
  </si>
  <si>
    <t>0.5811 &amp; 0.7736</t>
  </si>
  <si>
    <t>0.5839 &amp; 0.7756</t>
  </si>
  <si>
    <t>0.5920 &amp; 0.7838</t>
  </si>
  <si>
    <t>Log e Scale</t>
  </si>
  <si>
    <t>Cell split 1</t>
  </si>
  <si>
    <t>-0.1570 &amp; 0.0154</t>
  </si>
  <si>
    <t>Drug split 1</t>
  </si>
  <si>
    <t>-0.1722 &amp; 0.0118</t>
  </si>
  <si>
    <t>Random split 1</t>
  </si>
  <si>
    <t>-0.1750 &amp; 0.0119</t>
  </si>
  <si>
    <t>Cell split 2</t>
  </si>
  <si>
    <t>-0.1620 &amp; 0.0138</t>
  </si>
  <si>
    <t>Drug split 2</t>
  </si>
  <si>
    <t>-0.1716 &amp; 0.0122</t>
  </si>
  <si>
    <t>Random split 2</t>
  </si>
  <si>
    <t>-0.1747 &amp; 0.0119</t>
  </si>
  <si>
    <t>Cell Mean</t>
  </si>
  <si>
    <t>Cell Std</t>
  </si>
  <si>
    <t>Drug Mean</t>
  </si>
  <si>
    <t>Drug Std</t>
  </si>
  <si>
    <t>Random Mean</t>
  </si>
  <si>
    <t>Random Std</t>
  </si>
  <si>
    <r>
      <rPr>
        <b val="1"/>
        <sz val="10"/>
        <color indexed="8"/>
        <rFont val="Helvetica Neue"/>
      </rPr>
      <t xml:space="preserve">The choice of our final model is: Transformer: d32 h8 l4 + lr 1e-4, cos schedule +  delta MSE+Cor loss + dp1 + 64 dim Shared FC + sepGeneEncPred + newAttn + 2XAttn (gpt, MFP) + FiLM + </t>
    </r>
    <r>
      <rPr>
        <b val="1"/>
        <sz val="10"/>
        <color indexed="13"/>
        <rFont val="Helvetica Neue"/>
      </rPr>
      <t>Enc3DimReducLa128</t>
    </r>
    <r>
      <rPr>
        <b val="1"/>
        <sz val="10"/>
        <color indexed="8"/>
        <rFont val="Helvetica Neue"/>
      </rPr>
      <t xml:space="preserve"> + CellAware(mean,var) + MLP front end Simple + </t>
    </r>
    <r>
      <rPr>
        <b val="1"/>
        <sz val="10"/>
        <color indexed="13"/>
        <rFont val="Helvetica Neue"/>
      </rPr>
      <t>LLMMFP</t>
    </r>
    <r>
      <rPr>
        <b val="1"/>
        <sz val="10"/>
        <color indexed="8"/>
        <rFont val="Helvetica Neue"/>
      </rPr>
      <t xml:space="preserve"> + DoseTimeAsScalarFinalOutput + </t>
    </r>
    <r>
      <rPr>
        <b val="1"/>
        <sz val="10"/>
        <color indexed="13"/>
        <rFont val="Helvetica Neue"/>
      </rPr>
      <t>1024 FFdim in transformer</t>
    </r>
  </si>
  <si>
    <t>0.7538 &amp; 0.9210</t>
  </si>
  <si>
    <t>0.7957 &amp; 0.9706</t>
  </si>
  <si>
    <t>0.7541 &amp; 0.9185</t>
  </si>
  <si>
    <t>0.8255 &amp; 0.9944</t>
  </si>
  <si>
    <t>0.7314 &amp; 0.8999</t>
  </si>
  <si>
    <t>0.6400 &amp; 0.8215</t>
  </si>
  <si>
    <t>0.6292 &amp; 0.8125</t>
  </si>
  <si>
    <t>0.6672 &amp; 0.8515</t>
  </si>
  <si>
    <t>0.6435 &amp; 0.8261</t>
  </si>
  <si>
    <t>0.6526 &amp; 0.8356</t>
  </si>
  <si>
    <t>0.6253 &amp; 0.8107</t>
  </si>
  <si>
    <t>0.6271 &amp; 0.8131</t>
  </si>
  <si>
    <t>0.6218 &amp; 0.8076</t>
  </si>
  <si>
    <t>0.6131 &amp; 0.8001</t>
  </si>
  <si>
    <t>0.6236 &amp; 0.8106</t>
  </si>
  <si>
    <t>Cell Split LLM only</t>
  </si>
  <si>
    <t>Epoch 1-100</t>
  </si>
  <si>
    <t>100 epochs</t>
  </si>
  <si>
    <t>0.7581 &amp; 0.9253</t>
  </si>
  <si>
    <t>0.7989 &amp; 0.9737</t>
  </si>
  <si>
    <t>0.7584 &amp; 0.9237</t>
  </si>
  <si>
    <t>Average</t>
  </si>
  <si>
    <t>Std</t>
  </si>
  <si>
    <t>Cell Split MFP only</t>
  </si>
  <si>
    <t>Drug Split LLM only</t>
  </si>
  <si>
    <t>Drug Split MFP only</t>
  </si>
  <si>
    <t>Epoch 101-200</t>
  </si>
  <si>
    <t>Random Split LLM only</t>
  </si>
  <si>
    <t>Random Split MFP only</t>
  </si>
  <si>
    <t>Test loss&amp;MSE</t>
  </si>
  <si>
    <t>Epoch ran</t>
  </si>
  <si>
    <t>JOB ID</t>
  </si>
  <si>
    <t>OOM</t>
  </si>
  <si>
    <t>Cell split 2 (validation set)</t>
  </si>
  <si>
    <t>Cell split 3</t>
  </si>
  <si>
    <t>Cell split 4</t>
  </si>
  <si>
    <t>Cell split 5</t>
  </si>
  <si>
    <t>Random split 3</t>
  </si>
  <si>
    <t>Random split 4</t>
  </si>
  <si>
    <t>Random split 5</t>
  </si>
  <si>
    <t>???9.15072600636315E+20</t>
  </si>
  <si>
    <t>Results are weird; Manual check this</t>
  </si>
  <si>
    <t>Drug split 3</t>
  </si>
  <si>
    <t>Drug split 4</t>
  </si>
  <si>
    <t>Drug split 5</t>
  </si>
  <si>
    <t>???6087488456482.488</t>
  </si>
  <si>
    <t>NoChange</t>
  </si>
  <si>
    <t>Train Mean</t>
  </si>
  <si>
    <t>Train Mean across cell/drug pair</t>
  </si>
  <si>
    <t>Cell Split across drug pair</t>
  </si>
  <si>
    <t>Random Split - across cell/drug pair</t>
  </si>
  <si>
    <t>Drug Split - across cell pair</t>
  </si>
</sst>
</file>

<file path=xl/styles.xml><?xml version="1.0" encoding="utf-8"?>
<styleSheet xmlns="http://schemas.openxmlformats.org/spreadsheetml/2006/main">
  <numFmts count="5">
    <numFmt numFmtId="0" formatCode="General"/>
    <numFmt numFmtId="59" formatCode="m-yy"/>
    <numFmt numFmtId="60" formatCode="h:mm:ssAM/PM"/>
    <numFmt numFmtId="61" formatCode="m/d/yyyy h:mm:ss AM/PM"/>
    <numFmt numFmtId="62" formatCode="mmm d"/>
  </numFmts>
  <fonts count="5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sz val="10"/>
      <color indexed="13"/>
      <name val="Helvetica Neue"/>
    </font>
    <font>
      <b val="1"/>
      <sz val="10"/>
      <color indexed="13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4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horizontal="center" vertical="center" wrapText="1"/>
    </xf>
    <xf numFmtId="49" fontId="2" fillId="3" borderId="2" applyNumberFormat="1" applyFont="1" applyFill="1" applyBorder="1" applyAlignment="1" applyProtection="0">
      <alignment horizontal="center" vertical="center" wrapText="1"/>
    </xf>
    <xf numFmtId="49" fontId="0" borderId="3" applyNumberFormat="1" applyFont="1" applyFill="0" applyBorder="1" applyAlignment="1" applyProtection="0">
      <alignment horizontal="center" vertical="center" wrapText="1"/>
    </xf>
    <xf numFmtId="49" fontId="0" borderId="4" applyNumberFormat="1" applyFont="1" applyFill="0" applyBorder="1" applyAlignment="1" applyProtection="0">
      <alignment horizontal="center" vertical="center" wrapText="1"/>
    </xf>
    <xf numFmtId="0" fontId="0" borderId="4" applyNumberFormat="1" applyFont="1" applyFill="0" applyBorder="1" applyAlignment="1" applyProtection="0">
      <alignment horizontal="center" vertical="center" wrapText="1"/>
    </xf>
    <xf numFmtId="0" fontId="0" borderId="4" applyNumberFormat="0" applyFont="1" applyFill="0" applyBorder="1" applyAlignment="1" applyProtection="0">
      <alignment horizontal="center" vertical="center" wrapText="1"/>
    </xf>
    <xf numFmtId="49" fontId="2" fillId="3" borderId="5" applyNumberFormat="1" applyFont="1" applyFill="1" applyBorder="1" applyAlignment="1" applyProtection="0">
      <alignment horizontal="center" vertical="center" wrapText="1"/>
    </xf>
    <xf numFmtId="49" fontId="0" borderId="6" applyNumberFormat="1" applyFont="1" applyFill="0" applyBorder="1" applyAlignment="1" applyProtection="0">
      <alignment horizontal="center" vertical="center" wrapText="1"/>
    </xf>
    <xf numFmtId="49" fontId="0" borderId="7" applyNumberFormat="1" applyFont="1" applyFill="0" applyBorder="1" applyAlignment="1" applyProtection="0">
      <alignment horizontal="center" vertical="center" wrapText="1"/>
    </xf>
    <xf numFmtId="0" fontId="0" borderId="7" applyNumberFormat="1" applyFont="1" applyFill="0" applyBorder="1" applyAlignment="1" applyProtection="0">
      <alignment horizontal="center" vertical="center" wrapText="1"/>
    </xf>
    <xf numFmtId="0" fontId="0" borderId="7" applyNumberFormat="0" applyFont="1" applyFill="0" applyBorder="1" applyAlignment="1" applyProtection="0">
      <alignment horizontal="center" vertical="center" wrapText="1"/>
    </xf>
    <xf numFmtId="0" fontId="3" borderId="7" applyNumberFormat="1" applyFont="1" applyFill="0" applyBorder="1" applyAlignment="1" applyProtection="0">
      <alignment horizontal="center" vertical="center" wrapText="1"/>
    </xf>
    <xf numFmtId="0" fontId="3" borderId="7" applyNumberFormat="0" applyFont="1" applyFill="0" applyBorder="1" applyAlignment="1" applyProtection="0">
      <alignment horizontal="center" vertical="center" wrapText="1"/>
    </xf>
    <xf numFmtId="0" fontId="2" fillId="3" borderId="5" applyNumberFormat="0" applyFont="1" applyFill="1" applyBorder="1" applyAlignment="1" applyProtection="0">
      <alignment horizontal="center" vertical="center" wrapText="1"/>
    </xf>
    <xf numFmtId="0" fontId="0" borderId="6" applyNumberFormat="0" applyFont="1" applyFill="0" applyBorder="1" applyAlignment="1" applyProtection="0">
      <alignment horizontal="center" vertical="center" wrapText="1"/>
    </xf>
    <xf numFmtId="0" fontId="0" applyNumberFormat="1" applyFont="1" applyFill="0" applyBorder="0" applyAlignment="1" applyProtection="0">
      <alignment vertical="top" wrapText="1"/>
    </xf>
    <xf numFmtId="49" fontId="3" borderId="7" applyNumberFormat="1" applyFont="1" applyFill="0" applyBorder="1" applyAlignment="1" applyProtection="0">
      <alignment horizontal="center" vertical="center" wrapText="1"/>
    </xf>
    <xf numFmtId="0" fontId="0" applyNumberFormat="1" applyFont="1" applyFill="0" applyBorder="0" applyAlignment="1" applyProtection="0">
      <alignment vertical="top" wrapText="1"/>
    </xf>
    <xf numFmtId="59" fontId="0" borderId="3" applyNumberFormat="1" applyFont="1" applyFill="0" applyBorder="1" applyAlignment="1" applyProtection="0">
      <alignment horizontal="center" vertical="center" wrapText="1"/>
    </xf>
    <xf numFmtId="0" fontId="3" borderId="4" applyNumberFormat="1" applyFont="1" applyFill="0" applyBorder="1" applyAlignment="1" applyProtection="0">
      <alignment horizontal="center" vertical="center" wrapText="1"/>
    </xf>
    <xf numFmtId="0" fontId="0" borderId="4" applyNumberFormat="0" applyFont="1" applyFill="0" applyBorder="1" applyAlignment="1" applyProtection="0">
      <alignment vertical="top" wrapText="1"/>
    </xf>
    <xf numFmtId="59" fontId="0" borderId="6" applyNumberFormat="1" applyFont="1" applyFill="0" applyBorder="1" applyAlignment="1" applyProtection="0">
      <alignment horizontal="center" vertical="center" wrapText="1"/>
    </xf>
    <xf numFmtId="60" fontId="0" borderId="6" applyNumberFormat="1" applyFont="1" applyFill="0" applyBorder="1" applyAlignment="1" applyProtection="0">
      <alignment horizontal="center" vertical="center" wrapText="1"/>
    </xf>
    <xf numFmtId="61" fontId="0" borderId="6" applyNumberFormat="1" applyFont="1" applyFill="0" applyBorder="1" applyAlignment="1" applyProtection="0">
      <alignment horizontal="center" vertical="center" wrapText="1"/>
    </xf>
    <xf numFmtId="49" fontId="4" fillId="3" borderId="5" applyNumberFormat="1" applyFont="1" applyFill="1" applyBorder="1" applyAlignment="1" applyProtection="0">
      <alignment horizontal="center" vertical="center" wrapText="1"/>
    </xf>
    <xf numFmtId="0" fontId="0" applyNumberFormat="1" applyFont="1" applyFill="0" applyBorder="0" applyAlignment="1" applyProtection="0">
      <alignment vertical="top" wrapText="1"/>
    </xf>
    <xf numFmtId="49" fontId="4" fillId="3" borderId="4" applyNumberFormat="1" applyFont="1" applyFill="1" applyBorder="1" applyAlignment="1" applyProtection="0">
      <alignment horizontal="center" vertical="center" wrapText="1"/>
    </xf>
    <xf numFmtId="59" fontId="0" borderId="4" applyNumberFormat="1" applyFont="1" applyFill="0" applyBorder="1" applyAlignment="1" applyProtection="0">
      <alignment horizontal="center" vertical="center" wrapText="1"/>
    </xf>
    <xf numFmtId="62" fontId="2" fillId="3" borderId="5" applyNumberFormat="1" applyFont="1" applyFill="1" applyBorder="1" applyAlignment="1" applyProtection="0">
      <alignment horizontal="center" vertical="center" wrapText="1"/>
    </xf>
    <xf numFmtId="0" fontId="0" borderId="6" applyNumberFormat="1" applyFont="1" applyFill="0" applyBorder="1" applyAlignment="1" applyProtection="0">
      <alignment horizontal="center" vertical="center" wrapText="1"/>
    </xf>
    <xf numFmtId="0" fontId="0" applyNumberFormat="1" applyFont="1" applyFill="0" applyBorder="0" applyAlignment="1" applyProtection="0">
      <alignment vertical="top" wrapText="1"/>
    </xf>
    <xf numFmtId="0" fontId="0" borderId="3" applyNumberFormat="0" applyFont="1" applyFill="0" applyBorder="1" applyAlignment="1" applyProtection="0">
      <alignment horizontal="center" vertical="center" wrapText="1"/>
    </xf>
    <xf numFmtId="0" fontId="4" fillId="3" borderId="4" applyNumberFormat="0" applyFont="1" applyFill="1" applyBorder="1" applyAlignment="1" applyProtection="0">
      <alignment horizontal="center" vertical="center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ed220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Relationship Id="rId10" Type="http://schemas.openxmlformats.org/officeDocument/2006/relationships/worksheet" Target="worksheets/sheet6.xml"/><Relationship Id="rId11" Type="http://schemas.openxmlformats.org/officeDocument/2006/relationships/worksheet" Target="worksheets/sheet7.xml"/><Relationship Id="rId12" Type="http://schemas.openxmlformats.org/officeDocument/2006/relationships/worksheet" Target="worksheets/sheet8.xml"/><Relationship Id="rId13" Type="http://schemas.openxmlformats.org/officeDocument/2006/relationships/worksheet" Target="worksheets/sheet9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H71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8" width="16.3516" style="1" customWidth="1"/>
    <col min="9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</row>
    <row r="2" ht="32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</row>
    <row r="3" ht="32.25" customHeight="1">
      <c r="A3" t="s" s="4">
        <v>9</v>
      </c>
      <c r="B3" t="s" s="5">
        <v>10</v>
      </c>
      <c r="C3" t="s" s="6">
        <v>11</v>
      </c>
      <c r="D3" s="7">
        <v>100</v>
      </c>
      <c r="E3" s="7">
        <v>1.1588</v>
      </c>
      <c r="F3" s="7">
        <v>1.7698</v>
      </c>
      <c r="G3" s="7">
        <v>0.6885</v>
      </c>
      <c r="H3" s="8"/>
    </row>
    <row r="4" ht="32.05" customHeight="1">
      <c r="A4" t="s" s="9">
        <v>12</v>
      </c>
      <c r="B4" t="s" s="10">
        <v>10</v>
      </c>
      <c r="C4" t="s" s="11">
        <v>11</v>
      </c>
      <c r="D4" s="12">
        <v>97</v>
      </c>
      <c r="E4" s="12">
        <v>1.1539</v>
      </c>
      <c r="F4" s="12">
        <v>1.7275</v>
      </c>
      <c r="G4" s="12">
        <v>0.6948</v>
      </c>
      <c r="H4" s="13"/>
    </row>
    <row r="5" ht="32.05" customHeight="1">
      <c r="A5" t="s" s="9">
        <v>13</v>
      </c>
      <c r="B5" t="s" s="10">
        <v>10</v>
      </c>
      <c r="C5" t="s" s="11">
        <v>11</v>
      </c>
      <c r="D5" s="12">
        <v>40</v>
      </c>
      <c r="E5" s="12">
        <v>1.1563</v>
      </c>
      <c r="F5" s="12">
        <v>1.3303</v>
      </c>
      <c r="G5" s="12">
        <v>0.7724</v>
      </c>
      <c r="H5" s="13"/>
    </row>
    <row r="6" ht="32.05" customHeight="1">
      <c r="A6" t="s" s="9">
        <v>14</v>
      </c>
      <c r="B6" t="s" s="10">
        <v>10</v>
      </c>
      <c r="C6" t="s" s="11">
        <v>11</v>
      </c>
      <c r="D6" s="12">
        <v>11</v>
      </c>
      <c r="E6" s="12">
        <v>1.1655</v>
      </c>
      <c r="F6" s="12">
        <v>1.4468</v>
      </c>
      <c r="G6" s="12">
        <v>0.7493</v>
      </c>
      <c r="H6" s="13"/>
    </row>
    <row r="7" ht="32.05" customHeight="1">
      <c r="A7" t="s" s="9">
        <v>15</v>
      </c>
      <c r="B7" t="s" s="10">
        <v>10</v>
      </c>
      <c r="C7" t="s" s="11">
        <v>11</v>
      </c>
      <c r="D7" s="12">
        <v>6</v>
      </c>
      <c r="E7" s="12">
        <v>1.1694</v>
      </c>
      <c r="F7" s="12">
        <v>1.4257</v>
      </c>
      <c r="G7" s="12">
        <v>0.7534999999999999</v>
      </c>
      <c r="H7" s="13"/>
    </row>
    <row r="8" ht="32.05" customHeight="1">
      <c r="A8" t="s" s="9">
        <v>16</v>
      </c>
      <c r="B8" t="s" s="10">
        <v>10</v>
      </c>
      <c r="C8" t="s" s="11">
        <v>11</v>
      </c>
      <c r="D8" s="12">
        <v>11</v>
      </c>
      <c r="E8" s="12">
        <v>1.1699</v>
      </c>
      <c r="F8" s="12">
        <v>1.3714</v>
      </c>
      <c r="G8" s="12">
        <v>0.7641</v>
      </c>
      <c r="H8" s="13"/>
    </row>
    <row r="9" ht="32.05" customHeight="1">
      <c r="A9" t="s" s="9">
        <v>17</v>
      </c>
      <c r="B9" t="s" s="10">
        <v>10</v>
      </c>
      <c r="C9" t="s" s="11">
        <v>11</v>
      </c>
      <c r="D9" s="12">
        <v>12</v>
      </c>
      <c r="E9" s="12">
        <v>1.1672</v>
      </c>
      <c r="F9" s="12">
        <v>1.3402</v>
      </c>
      <c r="G9" s="12">
        <v>0.771</v>
      </c>
      <c r="H9" s="13"/>
    </row>
    <row r="10" ht="32.05" customHeight="1">
      <c r="A10" t="s" s="9">
        <v>18</v>
      </c>
      <c r="B10" t="s" s="10">
        <v>10</v>
      </c>
      <c r="C10" t="s" s="11">
        <v>11</v>
      </c>
      <c r="D10" s="12">
        <v>29</v>
      </c>
      <c r="E10" s="12">
        <v>1.1707</v>
      </c>
      <c r="F10" s="12">
        <v>3.5681</v>
      </c>
      <c r="G10" s="12">
        <v>0.3468</v>
      </c>
      <c r="H10" s="13"/>
    </row>
    <row r="11" ht="32.05" customHeight="1">
      <c r="A11" t="s" s="9">
        <v>19</v>
      </c>
      <c r="B11" t="s" s="10">
        <v>10</v>
      </c>
      <c r="C11" t="s" s="11">
        <v>11</v>
      </c>
      <c r="D11" s="12">
        <v>12</v>
      </c>
      <c r="E11" s="12">
        <v>1.1638</v>
      </c>
      <c r="F11" s="12">
        <v>1.3078</v>
      </c>
      <c r="G11" s="12">
        <v>0.7759</v>
      </c>
      <c r="H11" s="13"/>
    </row>
    <row r="12" ht="32.05" customHeight="1">
      <c r="A12" t="s" s="9">
        <v>20</v>
      </c>
      <c r="B12" t="s" s="10">
        <v>10</v>
      </c>
      <c r="C12" t="s" s="11">
        <v>11</v>
      </c>
      <c r="D12" s="12">
        <v>11</v>
      </c>
      <c r="E12" s="12">
        <v>1.1646</v>
      </c>
      <c r="F12" s="12">
        <v>1.2409</v>
      </c>
      <c r="G12" s="12">
        <v>0.7883</v>
      </c>
      <c r="H12" s="13"/>
    </row>
    <row r="13" ht="32.05" customHeight="1">
      <c r="A13" t="s" s="9">
        <v>21</v>
      </c>
      <c r="B13" t="s" s="10">
        <v>10</v>
      </c>
      <c r="C13" t="s" s="11">
        <v>11</v>
      </c>
      <c r="D13" s="12">
        <v>4</v>
      </c>
      <c r="E13" s="12">
        <v>1.1801</v>
      </c>
      <c r="F13" s="12">
        <v>1.2304</v>
      </c>
      <c r="G13" s="14">
        <v>0.7907</v>
      </c>
      <c r="H13" s="15"/>
    </row>
    <row r="14" ht="32.05" customHeight="1">
      <c r="A14" t="s" s="9">
        <v>22</v>
      </c>
      <c r="B14" t="s" s="10">
        <v>10</v>
      </c>
      <c r="C14" t="s" s="11">
        <v>11</v>
      </c>
      <c r="D14" s="12">
        <v>9</v>
      </c>
      <c r="E14" s="12">
        <v>1.1657</v>
      </c>
      <c r="F14" s="12">
        <v>1.2327</v>
      </c>
      <c r="G14" s="12">
        <v>0.7904</v>
      </c>
      <c r="H14" s="13"/>
    </row>
    <row r="15" ht="20.05" customHeight="1">
      <c r="A15" s="16"/>
      <c r="B15" s="17"/>
      <c r="C15" s="13"/>
      <c r="D15" s="13"/>
      <c r="E15" s="13"/>
      <c r="F15" s="13"/>
      <c r="G15" s="13"/>
      <c r="H15" s="13"/>
    </row>
    <row r="16" ht="44.05" customHeight="1">
      <c r="A16" t="s" s="9">
        <v>23</v>
      </c>
      <c r="B16" t="s" s="10">
        <v>10</v>
      </c>
      <c r="C16" t="s" s="11">
        <v>11</v>
      </c>
      <c r="D16" s="12">
        <v>14</v>
      </c>
      <c r="E16" s="12">
        <v>0.8913</v>
      </c>
      <c r="F16" t="s" s="11">
        <v>24</v>
      </c>
      <c r="G16" s="12">
        <v>0.7645999999999999</v>
      </c>
      <c r="H16" s="13"/>
    </row>
    <row r="17" ht="44.05" customHeight="1">
      <c r="A17" t="s" s="9">
        <v>25</v>
      </c>
      <c r="B17" t="s" s="10">
        <v>10</v>
      </c>
      <c r="C17" t="s" s="11">
        <v>11</v>
      </c>
      <c r="D17" s="12">
        <v>8</v>
      </c>
      <c r="E17" s="12">
        <v>0.8757</v>
      </c>
      <c r="F17" t="s" s="11">
        <v>26</v>
      </c>
      <c r="G17" s="12">
        <v>0.7658</v>
      </c>
      <c r="H17" s="13"/>
    </row>
    <row r="18" ht="20.05" customHeight="1">
      <c r="A18" s="16"/>
      <c r="B18" s="17"/>
      <c r="C18" s="13"/>
      <c r="D18" s="13"/>
      <c r="E18" s="13"/>
      <c r="F18" s="13"/>
      <c r="G18" s="13"/>
      <c r="H18" s="13"/>
    </row>
    <row r="19" ht="44.05" customHeight="1">
      <c r="A19" t="s" s="9">
        <v>27</v>
      </c>
      <c r="B19" t="s" s="10">
        <v>10</v>
      </c>
      <c r="C19" t="s" s="11">
        <v>11</v>
      </c>
      <c r="D19" s="12">
        <v>4</v>
      </c>
      <c r="E19" s="12">
        <v>1.1781</v>
      </c>
      <c r="F19" s="12">
        <v>1.236</v>
      </c>
      <c r="G19" s="12">
        <v>0.7897</v>
      </c>
      <c r="H19" s="13"/>
    </row>
    <row r="20" ht="20.05" customHeight="1">
      <c r="A20" s="16"/>
      <c r="B20" s="17"/>
      <c r="C20" s="13"/>
      <c r="D20" s="13"/>
      <c r="E20" s="13"/>
      <c r="F20" s="13"/>
      <c r="G20" s="13"/>
      <c r="H20" s="13"/>
    </row>
    <row r="21" ht="68.05" customHeight="1">
      <c r="A21" t="s" s="9">
        <v>28</v>
      </c>
      <c r="B21" t="s" s="10">
        <v>10</v>
      </c>
      <c r="C21" t="s" s="11">
        <v>11</v>
      </c>
      <c r="D21" s="12">
        <v>39</v>
      </c>
      <c r="E21" s="12">
        <v>1.1487</v>
      </c>
      <c r="F21" s="12">
        <v>1.24</v>
      </c>
      <c r="G21" s="12">
        <v>0.7887</v>
      </c>
      <c r="H21" t="s" s="11">
        <v>29</v>
      </c>
    </row>
    <row r="22" ht="44.05" customHeight="1">
      <c r="A22" t="s" s="9">
        <v>30</v>
      </c>
      <c r="B22" t="s" s="10">
        <v>10</v>
      </c>
      <c r="C22" t="s" s="11">
        <v>11</v>
      </c>
      <c r="D22" s="12">
        <v>8</v>
      </c>
      <c r="E22" s="12">
        <v>1.1726</v>
      </c>
      <c r="F22" s="12">
        <v>1.2413</v>
      </c>
      <c r="G22" s="12">
        <v>0.7881</v>
      </c>
      <c r="H22" s="13"/>
    </row>
    <row r="23" ht="68.05" customHeight="1">
      <c r="A23" t="s" s="9">
        <v>31</v>
      </c>
      <c r="B23" t="s" s="10">
        <v>10</v>
      </c>
      <c r="C23" t="s" s="11">
        <v>11</v>
      </c>
      <c r="D23" s="12">
        <v>20</v>
      </c>
      <c r="E23" s="12">
        <v>1.1587</v>
      </c>
      <c r="F23" s="12">
        <v>1.2943</v>
      </c>
      <c r="G23" s="12">
        <v>0.7781</v>
      </c>
      <c r="H23" t="s" s="11">
        <v>32</v>
      </c>
    </row>
    <row r="24" ht="56.05" customHeight="1">
      <c r="A24" t="s" s="9">
        <v>33</v>
      </c>
      <c r="B24" t="s" s="10">
        <v>10</v>
      </c>
      <c r="C24" t="s" s="11">
        <v>11</v>
      </c>
      <c r="D24" s="12">
        <v>39</v>
      </c>
      <c r="E24" s="12">
        <v>1.1486</v>
      </c>
      <c r="F24" s="12">
        <v>1.2149</v>
      </c>
      <c r="G24" s="14">
        <v>0.7934</v>
      </c>
      <c r="H24" t="s" s="11">
        <v>34</v>
      </c>
    </row>
    <row r="25" ht="20.05" customHeight="1">
      <c r="A25" s="16"/>
      <c r="B25" s="17"/>
      <c r="C25" s="13"/>
      <c r="D25" s="13"/>
      <c r="E25" s="13"/>
      <c r="F25" s="13"/>
      <c r="G25" s="13"/>
      <c r="H25" s="13"/>
    </row>
    <row r="26" ht="80.05" customHeight="1">
      <c r="A26" t="s" s="9">
        <v>35</v>
      </c>
      <c r="B26" t="s" s="10">
        <v>10</v>
      </c>
      <c r="C26" t="s" s="11">
        <v>11</v>
      </c>
      <c r="D26" s="12">
        <v>65</v>
      </c>
      <c r="E26" s="12">
        <v>1.1463</v>
      </c>
      <c r="F26" s="12">
        <v>1.2436</v>
      </c>
      <c r="G26" s="12">
        <v>0.7879</v>
      </c>
      <c r="H26" t="s" s="11">
        <v>36</v>
      </c>
    </row>
    <row r="27" ht="20.05" customHeight="1">
      <c r="A27" s="16"/>
      <c r="B27" s="17"/>
      <c r="C27" s="13"/>
      <c r="D27" s="13"/>
      <c r="E27" s="13"/>
      <c r="F27" s="13"/>
      <c r="G27" s="13"/>
      <c r="H27" s="13"/>
    </row>
    <row r="28" ht="68.05" customHeight="1">
      <c r="A28" t="s" s="9">
        <v>37</v>
      </c>
      <c r="B28" t="s" s="10">
        <v>10</v>
      </c>
      <c r="C28" t="s" s="11">
        <v>11</v>
      </c>
      <c r="D28" s="12">
        <v>26</v>
      </c>
      <c r="E28" s="12">
        <v>0.8834</v>
      </c>
      <c r="F28" t="s" s="11">
        <v>38</v>
      </c>
      <c r="G28" s="12">
        <v>0.7886</v>
      </c>
      <c r="H28" t="s" s="11">
        <v>39</v>
      </c>
    </row>
    <row r="29" ht="44.05" customHeight="1">
      <c r="A29" t="s" s="9">
        <v>40</v>
      </c>
      <c r="B29" t="s" s="10">
        <v>10</v>
      </c>
      <c r="C29" t="s" s="11">
        <v>11</v>
      </c>
      <c r="D29" s="12">
        <v>12</v>
      </c>
      <c r="E29" s="12">
        <v>0.8642</v>
      </c>
      <c r="F29" t="s" s="11">
        <v>41</v>
      </c>
      <c r="G29" s="12">
        <v>0.7895</v>
      </c>
      <c r="H29" s="13"/>
    </row>
    <row r="30" ht="20.05" customHeight="1">
      <c r="A30" s="16"/>
      <c r="B30" s="17"/>
      <c r="C30" s="13"/>
      <c r="D30" s="13"/>
      <c r="E30" s="13"/>
      <c r="F30" s="13"/>
      <c r="G30" s="13"/>
      <c r="H30" s="13"/>
    </row>
    <row r="31" ht="56.05" customHeight="1">
      <c r="A31" t="s" s="9">
        <v>42</v>
      </c>
      <c r="B31" t="s" s="10">
        <v>10</v>
      </c>
      <c r="C31" t="s" s="11">
        <v>11</v>
      </c>
      <c r="D31" s="12">
        <v>100</v>
      </c>
      <c r="E31" s="12">
        <v>1.1401</v>
      </c>
      <c r="F31" s="12">
        <v>1.2306</v>
      </c>
      <c r="G31" s="14">
        <v>0.7906</v>
      </c>
      <c r="H31" t="s" s="11">
        <v>43</v>
      </c>
    </row>
    <row r="32" ht="56.05" customHeight="1">
      <c r="A32" t="s" s="9">
        <v>44</v>
      </c>
      <c r="B32" t="s" s="10">
        <v>10</v>
      </c>
      <c r="C32" t="s" s="11">
        <v>11</v>
      </c>
      <c r="D32" s="12">
        <v>13</v>
      </c>
      <c r="E32" s="12">
        <v>1.1664</v>
      </c>
      <c r="F32" s="12">
        <v>1.2269</v>
      </c>
      <c r="G32" s="14">
        <v>0.7911</v>
      </c>
      <c r="H32" t="s" s="11">
        <v>45</v>
      </c>
    </row>
    <row r="33" ht="56.05" customHeight="1">
      <c r="A33" t="s" s="9">
        <v>46</v>
      </c>
      <c r="B33" t="s" s="10">
        <v>10</v>
      </c>
      <c r="C33" t="s" s="11">
        <v>11</v>
      </c>
      <c r="D33" s="12">
        <v>69</v>
      </c>
      <c r="E33" s="12">
        <v>1.1423</v>
      </c>
      <c r="F33" s="12">
        <v>1.2213</v>
      </c>
      <c r="G33" s="14">
        <v>0.7925</v>
      </c>
      <c r="H33" t="s" s="11">
        <v>47</v>
      </c>
    </row>
    <row r="34" ht="20.05" customHeight="1">
      <c r="A34" s="16"/>
      <c r="B34" s="17"/>
      <c r="C34" s="13"/>
      <c r="D34" s="13"/>
      <c r="E34" s="13"/>
      <c r="F34" s="13"/>
      <c r="G34" s="13"/>
      <c r="H34" s="13"/>
    </row>
    <row r="35" ht="44.05" customHeight="1">
      <c r="A35" t="s" s="9">
        <v>48</v>
      </c>
      <c r="B35" t="s" s="10">
        <v>10</v>
      </c>
      <c r="C35" t="s" s="11">
        <v>11</v>
      </c>
      <c r="D35" s="13"/>
      <c r="E35" s="13"/>
      <c r="F35" s="13"/>
      <c r="G35" s="13"/>
      <c r="H35" t="s" s="11">
        <v>49</v>
      </c>
    </row>
    <row r="36" ht="56.05" customHeight="1">
      <c r="A36" t="s" s="9">
        <v>50</v>
      </c>
      <c r="B36" t="s" s="10">
        <v>10</v>
      </c>
      <c r="C36" t="s" s="11">
        <v>11</v>
      </c>
      <c r="D36" s="12">
        <v>91</v>
      </c>
      <c r="E36" s="12">
        <v>1.151</v>
      </c>
      <c r="F36" s="12">
        <v>1.22</v>
      </c>
      <c r="G36" s="12">
        <v>0.7926</v>
      </c>
      <c r="H36" t="s" s="11">
        <v>51</v>
      </c>
    </row>
    <row r="37" ht="44.05" customHeight="1">
      <c r="A37" t="s" s="9">
        <v>52</v>
      </c>
      <c r="B37" s="17"/>
      <c r="C37" s="13"/>
      <c r="D37" s="13"/>
      <c r="E37" s="13"/>
      <c r="F37" s="13"/>
      <c r="G37" s="13"/>
      <c r="H37" t="s" s="11">
        <v>49</v>
      </c>
    </row>
    <row r="38" ht="44.05" customHeight="1">
      <c r="A38" t="s" s="9">
        <v>53</v>
      </c>
      <c r="B38" s="17"/>
      <c r="C38" s="13"/>
      <c r="D38" s="13"/>
      <c r="E38" s="13"/>
      <c r="F38" s="13"/>
      <c r="G38" s="13"/>
      <c r="H38" t="s" s="11">
        <v>49</v>
      </c>
    </row>
    <row r="39" ht="44.05" customHeight="1">
      <c r="A39" t="s" s="9">
        <v>54</v>
      </c>
      <c r="B39" s="17"/>
      <c r="C39" s="13"/>
      <c r="D39" s="13"/>
      <c r="E39" s="13"/>
      <c r="F39" s="13"/>
      <c r="G39" s="13"/>
      <c r="H39" t="s" s="11">
        <v>49</v>
      </c>
    </row>
    <row r="40" ht="20.05" customHeight="1">
      <c r="A40" s="16"/>
      <c r="B40" s="17"/>
      <c r="C40" s="13"/>
      <c r="D40" s="13"/>
      <c r="E40" s="13"/>
      <c r="F40" s="13"/>
      <c r="G40" s="13"/>
      <c r="H40" s="13"/>
    </row>
    <row r="41" ht="68.05" customHeight="1">
      <c r="A41" t="s" s="9">
        <v>55</v>
      </c>
      <c r="B41" t="s" s="10">
        <v>10</v>
      </c>
      <c r="C41" t="s" s="11">
        <v>11</v>
      </c>
      <c r="D41" s="12">
        <v>7</v>
      </c>
      <c r="E41" s="12">
        <v>1.1664</v>
      </c>
      <c r="F41" s="12">
        <v>1.2076</v>
      </c>
      <c r="G41" s="14">
        <v>0.7951</v>
      </c>
      <c r="H41" s="13"/>
    </row>
    <row r="42" ht="68.05" customHeight="1">
      <c r="A42" t="s" s="9">
        <v>56</v>
      </c>
      <c r="B42" t="s" s="10">
        <v>10</v>
      </c>
      <c r="C42" t="s" s="11">
        <v>11</v>
      </c>
      <c r="D42" s="12">
        <v>8</v>
      </c>
      <c r="E42" s="12">
        <v>1.1576</v>
      </c>
      <c r="F42" s="12">
        <v>1.207</v>
      </c>
      <c r="G42" s="12">
        <v>0.7952</v>
      </c>
      <c r="H42" t="s" s="11">
        <v>57</v>
      </c>
    </row>
    <row r="43" ht="68.05" customHeight="1">
      <c r="A43" t="s" s="9">
        <v>58</v>
      </c>
      <c r="B43" t="s" s="10">
        <v>10</v>
      </c>
      <c r="C43" t="s" s="11">
        <v>11</v>
      </c>
      <c r="D43" s="13"/>
      <c r="E43" s="13"/>
      <c r="F43" s="13"/>
      <c r="G43" s="13"/>
      <c r="H43" t="s" s="11">
        <v>59</v>
      </c>
    </row>
    <row r="44" ht="68.05" customHeight="1">
      <c r="A44" t="s" s="9">
        <v>60</v>
      </c>
      <c r="B44" t="s" s="10">
        <v>10</v>
      </c>
      <c r="C44" t="s" s="11">
        <v>11</v>
      </c>
      <c r="D44" s="12">
        <v>10</v>
      </c>
      <c r="E44" s="12">
        <v>0.8557</v>
      </c>
      <c r="F44" t="s" s="11">
        <v>61</v>
      </c>
      <c r="G44" s="12">
        <v>0.7945</v>
      </c>
      <c r="H44" t="s" s="11">
        <v>62</v>
      </c>
    </row>
    <row r="45" ht="20.05" customHeight="1">
      <c r="A45" s="16"/>
      <c r="B45" s="17"/>
      <c r="C45" s="13"/>
      <c r="D45" s="13"/>
      <c r="E45" s="13"/>
      <c r="F45" s="13"/>
      <c r="G45" s="13"/>
      <c r="H45" s="13"/>
    </row>
    <row r="46" ht="68.05" customHeight="1">
      <c r="A46" t="s" s="9">
        <v>63</v>
      </c>
      <c r="B46" t="s" s="10">
        <v>10</v>
      </c>
      <c r="C46" t="s" s="11">
        <v>11</v>
      </c>
      <c r="D46" s="12">
        <v>64</v>
      </c>
      <c r="E46" s="12">
        <v>0.0153</v>
      </c>
      <c r="F46" s="12">
        <v>0.0157</v>
      </c>
      <c r="G46" s="12">
        <v>0.7817</v>
      </c>
      <c r="H46" s="13"/>
    </row>
    <row r="47" ht="68.05" customHeight="1">
      <c r="A47" t="s" s="9">
        <v>64</v>
      </c>
      <c r="B47" t="s" s="10">
        <v>10</v>
      </c>
      <c r="C47" t="s" s="11">
        <v>11</v>
      </c>
      <c r="D47" s="12">
        <v>87</v>
      </c>
      <c r="E47" s="12">
        <v>0.0152</v>
      </c>
      <c r="F47" s="12">
        <v>0.0156</v>
      </c>
      <c r="G47" s="12">
        <v>0.7824</v>
      </c>
      <c r="H47" s="13"/>
    </row>
    <row r="48" ht="20.05" customHeight="1">
      <c r="A48" s="16"/>
      <c r="B48" s="17"/>
      <c r="C48" s="13"/>
      <c r="D48" s="13"/>
      <c r="E48" s="13"/>
      <c r="F48" s="13"/>
      <c r="G48" s="13"/>
      <c r="H48" s="13"/>
    </row>
    <row r="49" ht="80.05" customHeight="1">
      <c r="A49" t="s" s="9">
        <v>65</v>
      </c>
      <c r="B49" t="s" s="10">
        <v>10</v>
      </c>
      <c r="C49" t="s" s="11">
        <v>11</v>
      </c>
      <c r="D49" s="12">
        <v>21</v>
      </c>
      <c r="E49" s="12">
        <v>0.8927</v>
      </c>
      <c r="F49" s="12">
        <v>1.0561</v>
      </c>
      <c r="G49" s="12">
        <v>0.8223</v>
      </c>
      <c r="H49" s="13"/>
    </row>
    <row r="50" ht="80.05" customHeight="1">
      <c r="A50" t="s" s="9">
        <v>66</v>
      </c>
      <c r="B50" t="s" s="10">
        <v>10</v>
      </c>
      <c r="C50" t="s" s="11">
        <v>11</v>
      </c>
      <c r="D50" s="12">
        <v>14</v>
      </c>
      <c r="E50" s="12">
        <v>0.8892</v>
      </c>
      <c r="F50" s="14">
        <v>1.0524</v>
      </c>
      <c r="G50" s="14">
        <v>0.8231000000000001</v>
      </c>
      <c r="H50" s="13"/>
    </row>
    <row r="51" ht="20.05" customHeight="1">
      <c r="A51" s="16"/>
      <c r="B51" s="17"/>
      <c r="C51" s="13"/>
      <c r="D51" s="13"/>
      <c r="E51" s="13"/>
      <c r="F51" s="13"/>
      <c r="G51" s="13"/>
      <c r="H51" s="13"/>
    </row>
    <row r="52" ht="80.05" customHeight="1">
      <c r="A52" t="s" s="9">
        <v>67</v>
      </c>
      <c r="B52" t="s" s="10">
        <v>10</v>
      </c>
      <c r="C52" t="s" s="11">
        <v>11</v>
      </c>
      <c r="D52" s="12">
        <v>8</v>
      </c>
      <c r="E52" s="12">
        <v>1.0956</v>
      </c>
      <c r="F52" t="s" s="11">
        <v>68</v>
      </c>
      <c r="G52" s="12">
        <v>0.8199</v>
      </c>
      <c r="H52" s="13"/>
    </row>
    <row r="53" ht="80.05" customHeight="1">
      <c r="A53" t="s" s="9">
        <v>69</v>
      </c>
      <c r="B53" t="s" s="10">
        <v>10</v>
      </c>
      <c r="C53" t="s" s="11">
        <v>11</v>
      </c>
      <c r="D53" s="12">
        <v>17</v>
      </c>
      <c r="E53" s="12">
        <v>0.733</v>
      </c>
      <c r="F53" t="s" s="11">
        <v>70</v>
      </c>
      <c r="G53" s="12">
        <v>0.8217</v>
      </c>
      <c r="H53" s="13"/>
    </row>
    <row r="54" ht="20.05" customHeight="1">
      <c r="A54" s="16"/>
      <c r="B54" s="17"/>
      <c r="C54" s="13"/>
      <c r="D54" s="13"/>
      <c r="E54" s="13"/>
      <c r="F54" s="13"/>
      <c r="G54" s="13"/>
      <c r="H54" s="13"/>
    </row>
    <row r="55" ht="92.05" customHeight="1">
      <c r="A55" t="s" s="9">
        <v>71</v>
      </c>
      <c r="B55" t="s" s="10">
        <v>10</v>
      </c>
      <c r="C55" t="s" s="11">
        <v>11</v>
      </c>
      <c r="D55" s="12">
        <v>31</v>
      </c>
      <c r="E55" s="12">
        <v>0.9401</v>
      </c>
      <c r="F55" s="14">
        <v>1.0367</v>
      </c>
      <c r="G55" s="14">
        <v>0.8258</v>
      </c>
      <c r="H55" s="13"/>
    </row>
    <row r="56" ht="20.05" customHeight="1">
      <c r="A56" s="16"/>
      <c r="B56" s="17"/>
      <c r="C56" s="13"/>
      <c r="D56" s="13"/>
      <c r="E56" s="13"/>
      <c r="F56" s="13"/>
      <c r="G56" s="13"/>
      <c r="H56" s="13"/>
    </row>
    <row r="57" ht="104.05" customHeight="1">
      <c r="A57" t="s" s="9">
        <v>72</v>
      </c>
      <c r="B57" t="s" s="10">
        <v>10</v>
      </c>
      <c r="C57" t="s" s="11">
        <v>11</v>
      </c>
      <c r="D57" s="12">
        <v>29</v>
      </c>
      <c r="E57" s="12">
        <v>0.9441000000000001</v>
      </c>
      <c r="F57" s="12">
        <v>1.0366</v>
      </c>
      <c r="G57" s="12">
        <v>0.8256</v>
      </c>
      <c r="H57" s="13"/>
    </row>
    <row r="58" ht="104.05" customHeight="1">
      <c r="A58" t="s" s="9">
        <v>73</v>
      </c>
      <c r="B58" t="s" s="10">
        <v>10</v>
      </c>
      <c r="C58" t="s" s="11">
        <v>11</v>
      </c>
      <c r="D58" s="12">
        <v>8</v>
      </c>
      <c r="E58" s="12">
        <v>1.0364</v>
      </c>
      <c r="F58" s="12">
        <v>1.064</v>
      </c>
      <c r="G58" s="12">
        <v>0.8196</v>
      </c>
      <c r="H58" s="13"/>
    </row>
    <row r="59" ht="20.05" customHeight="1">
      <c r="A59" s="16"/>
      <c r="B59" s="17"/>
      <c r="C59" s="13"/>
      <c r="D59" s="13"/>
      <c r="E59" s="13"/>
      <c r="F59" s="13"/>
      <c r="G59" s="13"/>
      <c r="H59" s="13"/>
    </row>
    <row r="60" ht="20.05" customHeight="1">
      <c r="A60" s="16"/>
      <c r="B60" s="17"/>
      <c r="C60" s="13"/>
      <c r="D60" s="13"/>
      <c r="E60" s="13"/>
      <c r="F60" s="13"/>
      <c r="G60" s="13"/>
      <c r="H60" s="13"/>
    </row>
    <row r="61" ht="20.05" customHeight="1">
      <c r="A61" s="16"/>
      <c r="B61" s="17"/>
      <c r="C61" s="13"/>
      <c r="D61" s="13"/>
      <c r="E61" s="13"/>
      <c r="F61" s="13"/>
      <c r="G61" s="13"/>
      <c r="H61" s="13"/>
    </row>
    <row r="62" ht="20.05" customHeight="1">
      <c r="A62" s="16"/>
      <c r="B62" s="17"/>
      <c r="C62" s="13"/>
      <c r="D62" s="13"/>
      <c r="E62" s="13"/>
      <c r="F62" s="13"/>
      <c r="G62" s="13"/>
      <c r="H62" s="13"/>
    </row>
    <row r="63" ht="20.05" customHeight="1">
      <c r="A63" s="16"/>
      <c r="B63" s="17"/>
      <c r="C63" s="13"/>
      <c r="D63" s="13"/>
      <c r="E63" s="13"/>
      <c r="F63" s="13"/>
      <c r="G63" s="13"/>
      <c r="H63" s="13"/>
    </row>
    <row r="64" ht="20.05" customHeight="1">
      <c r="A64" s="16"/>
      <c r="B64" s="17"/>
      <c r="C64" s="13"/>
      <c r="D64" s="13"/>
      <c r="E64" s="13"/>
      <c r="F64" s="13"/>
      <c r="G64" s="13"/>
      <c r="H64" s="13"/>
    </row>
    <row r="65" ht="20.05" customHeight="1">
      <c r="A65" s="16"/>
      <c r="B65" s="17"/>
      <c r="C65" s="13"/>
      <c r="D65" s="13"/>
      <c r="E65" s="13"/>
      <c r="F65" s="13"/>
      <c r="G65" s="13"/>
      <c r="H65" s="13"/>
    </row>
    <row r="66" ht="20.05" customHeight="1">
      <c r="A66" s="16"/>
      <c r="B66" s="17"/>
      <c r="C66" s="13"/>
      <c r="D66" s="13"/>
      <c r="E66" s="13"/>
      <c r="F66" s="13"/>
      <c r="G66" s="13"/>
      <c r="H66" s="13"/>
    </row>
    <row r="67" ht="20.05" customHeight="1">
      <c r="A67" s="16"/>
      <c r="B67" s="17"/>
      <c r="C67" s="13"/>
      <c r="D67" s="13"/>
      <c r="E67" s="13"/>
      <c r="F67" s="13"/>
      <c r="G67" s="13"/>
      <c r="H67" s="13"/>
    </row>
    <row r="68" ht="20.05" customHeight="1">
      <c r="A68" s="16"/>
      <c r="B68" s="17"/>
      <c r="C68" s="13"/>
      <c r="D68" s="13"/>
      <c r="E68" s="13"/>
      <c r="F68" s="13"/>
      <c r="G68" s="13"/>
      <c r="H68" s="13"/>
    </row>
    <row r="69" ht="20.05" customHeight="1">
      <c r="A69" s="16"/>
      <c r="B69" s="17"/>
      <c r="C69" s="13"/>
      <c r="D69" s="13"/>
      <c r="E69" s="13"/>
      <c r="F69" s="13"/>
      <c r="G69" s="13"/>
      <c r="H69" s="13"/>
    </row>
    <row r="70" ht="20.05" customHeight="1">
      <c r="A70" s="16"/>
      <c r="B70" s="17"/>
      <c r="C70" s="13"/>
      <c r="D70" s="13"/>
      <c r="E70" s="13"/>
      <c r="F70" s="13"/>
      <c r="G70" s="13"/>
      <c r="H70" s="13"/>
    </row>
    <row r="71" ht="20.05" customHeight="1">
      <c r="A71" s="16"/>
      <c r="B71" s="17"/>
      <c r="C71" s="13"/>
      <c r="D71" s="13"/>
      <c r="E71" s="13"/>
      <c r="F71" s="13"/>
      <c r="G71" s="13"/>
      <c r="H71" s="13"/>
    </row>
  </sheetData>
  <mergeCells count="1">
    <mergeCell ref="A1:H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2:L106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21.7031" style="18" customWidth="1"/>
    <col min="2" max="12" width="16.3516" style="18" customWidth="1"/>
    <col min="13" max="16384" width="16.3516" style="18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32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74</v>
      </c>
      <c r="I2" t="s" s="3">
        <v>75</v>
      </c>
      <c r="J2" t="s" s="3">
        <v>76</v>
      </c>
      <c r="K2" t="s" s="3">
        <v>77</v>
      </c>
      <c r="L2" t="s" s="3">
        <v>8</v>
      </c>
    </row>
    <row r="3" ht="68.25" customHeight="1">
      <c r="A3" t="s" s="4">
        <v>72</v>
      </c>
      <c r="B3" t="s" s="5">
        <v>10</v>
      </c>
      <c r="C3" t="s" s="6">
        <v>11</v>
      </c>
      <c r="D3" s="7">
        <v>29</v>
      </c>
      <c r="E3" s="7">
        <v>0.9441000000000001</v>
      </c>
      <c r="F3" s="7">
        <v>1.0366</v>
      </c>
      <c r="G3" s="7">
        <v>0.8256</v>
      </c>
      <c r="H3" s="8"/>
      <c r="I3" s="8"/>
      <c r="J3" s="8"/>
      <c r="K3" s="8"/>
      <c r="L3" s="8"/>
    </row>
    <row r="4" ht="80.05" customHeight="1">
      <c r="A4" t="s" s="9">
        <v>73</v>
      </c>
      <c r="B4" t="s" s="10">
        <v>10</v>
      </c>
      <c r="C4" t="s" s="11">
        <v>11</v>
      </c>
      <c r="D4" s="12">
        <v>8</v>
      </c>
      <c r="E4" s="12">
        <v>1.0364</v>
      </c>
      <c r="F4" s="12">
        <v>1.064</v>
      </c>
      <c r="G4" s="12">
        <v>0.8196</v>
      </c>
      <c r="H4" s="13"/>
      <c r="I4" s="13"/>
      <c r="J4" s="13"/>
      <c r="K4" s="13"/>
      <c r="L4" t="s" s="11">
        <v>78</v>
      </c>
    </row>
    <row r="5" ht="80.05" customHeight="1">
      <c r="A5" t="s" s="9">
        <v>79</v>
      </c>
      <c r="B5" t="s" s="10">
        <v>10</v>
      </c>
      <c r="C5" t="s" s="11">
        <v>11</v>
      </c>
      <c r="D5" s="12">
        <v>22</v>
      </c>
      <c r="E5" s="12">
        <v>0.8782</v>
      </c>
      <c r="F5" s="12">
        <v>1.0574</v>
      </c>
      <c r="G5" s="12">
        <v>0.8205</v>
      </c>
      <c r="H5" s="13"/>
      <c r="I5" s="13"/>
      <c r="J5" s="13"/>
      <c r="K5" s="13"/>
      <c r="L5" s="13"/>
    </row>
    <row r="6" ht="80.05" customHeight="1">
      <c r="A6" t="s" s="9">
        <v>80</v>
      </c>
      <c r="B6" t="s" s="10">
        <v>10</v>
      </c>
      <c r="C6" t="s" s="11">
        <v>11</v>
      </c>
      <c r="D6" s="12">
        <v>16</v>
      </c>
      <c r="E6" s="12">
        <v>0.9409999999999999</v>
      </c>
      <c r="F6" s="12">
        <v>1.0629</v>
      </c>
      <c r="G6" s="12">
        <v>0.8204</v>
      </c>
      <c r="H6" s="13"/>
      <c r="I6" s="13"/>
      <c r="J6" s="13"/>
      <c r="K6" s="13"/>
      <c r="L6" s="13"/>
    </row>
    <row r="7" ht="80.05" customHeight="1">
      <c r="A7" t="s" s="9">
        <v>81</v>
      </c>
      <c r="B7" t="s" s="10">
        <v>10</v>
      </c>
      <c r="C7" t="s" s="11">
        <v>11</v>
      </c>
      <c r="D7" s="12">
        <v>12</v>
      </c>
      <c r="E7" s="12">
        <v>0.9836</v>
      </c>
      <c r="F7" s="12">
        <v>1.0542</v>
      </c>
      <c r="G7" s="12">
        <v>0.8214</v>
      </c>
      <c r="H7" s="13"/>
      <c r="I7" s="13"/>
      <c r="J7" s="13"/>
      <c r="K7" s="13"/>
      <c r="L7" s="13"/>
    </row>
    <row r="8" ht="20.05" customHeight="1">
      <c r="A8" t="s" s="9">
        <v>82</v>
      </c>
      <c r="B8" s="17"/>
      <c r="C8" s="13"/>
      <c r="D8" s="13"/>
      <c r="E8" s="13"/>
      <c r="F8" s="13"/>
      <c r="G8" s="13"/>
      <c r="H8" s="13"/>
      <c r="I8" s="13"/>
      <c r="J8" s="13"/>
      <c r="K8" s="13"/>
      <c r="L8" s="13"/>
    </row>
    <row r="9" ht="80.05" customHeight="1">
      <c r="A9" t="s" s="9">
        <v>83</v>
      </c>
      <c r="B9" t="s" s="10">
        <v>10</v>
      </c>
      <c r="C9" t="s" s="11">
        <v>11</v>
      </c>
      <c r="D9" s="12">
        <v>27</v>
      </c>
      <c r="E9" s="12">
        <v>1.0536</v>
      </c>
      <c r="F9" s="12">
        <v>1.04</v>
      </c>
      <c r="G9" s="12">
        <v>0.8246</v>
      </c>
      <c r="H9" s="13"/>
      <c r="I9" s="13"/>
      <c r="J9" s="13"/>
      <c r="K9" s="13"/>
      <c r="L9" s="13"/>
    </row>
    <row r="10" ht="80.05" customHeight="1">
      <c r="A10" t="s" s="9">
        <v>84</v>
      </c>
      <c r="B10" t="s" s="10">
        <v>10</v>
      </c>
      <c r="C10" t="s" s="11">
        <v>11</v>
      </c>
      <c r="D10" s="12">
        <v>21</v>
      </c>
      <c r="E10" s="12">
        <v>1.1311</v>
      </c>
      <c r="F10" s="12">
        <v>1.0557</v>
      </c>
      <c r="G10" s="12">
        <v>0.8222</v>
      </c>
      <c r="H10" s="13"/>
      <c r="I10" s="13"/>
      <c r="J10" s="13"/>
      <c r="K10" s="13"/>
      <c r="L10" s="13"/>
    </row>
    <row r="11" ht="80.05" customHeight="1">
      <c r="A11" t="s" s="9">
        <v>85</v>
      </c>
      <c r="B11" t="s" s="10">
        <v>10</v>
      </c>
      <c r="C11" t="s" s="11">
        <v>11</v>
      </c>
      <c r="D11" s="12">
        <v>49</v>
      </c>
      <c r="E11" s="12">
        <v>0.9254</v>
      </c>
      <c r="F11" s="12">
        <v>1.0211</v>
      </c>
      <c r="G11" s="14">
        <v>0.8286</v>
      </c>
      <c r="H11" s="15"/>
      <c r="I11" s="15"/>
      <c r="J11" s="15"/>
      <c r="K11" s="15"/>
      <c r="L11" s="13"/>
    </row>
    <row r="12" ht="80.05" customHeight="1">
      <c r="A12" t="s" s="9">
        <v>86</v>
      </c>
      <c r="B12" t="s" s="10">
        <v>10</v>
      </c>
      <c r="C12" t="s" s="11">
        <v>11</v>
      </c>
      <c r="D12" s="12">
        <v>33</v>
      </c>
      <c r="E12" s="12">
        <v>0.9936</v>
      </c>
      <c r="F12" s="12">
        <v>1.0355</v>
      </c>
      <c r="G12" s="12">
        <v>0.8265</v>
      </c>
      <c r="H12" s="13"/>
      <c r="I12" s="13"/>
      <c r="J12" s="13"/>
      <c r="K12" s="13"/>
      <c r="L12" s="13"/>
    </row>
    <row r="13" ht="20.05" customHeight="1">
      <c r="A13" t="s" s="9">
        <v>87</v>
      </c>
      <c r="B13" s="17"/>
      <c r="C13" s="13"/>
      <c r="D13" s="13"/>
      <c r="E13" s="13"/>
      <c r="F13" s="13"/>
      <c r="G13" s="13"/>
      <c r="H13" s="13"/>
      <c r="I13" s="13"/>
      <c r="J13" s="13"/>
      <c r="K13" s="13"/>
      <c r="L13" s="13"/>
    </row>
    <row r="14" ht="80.05" customHeight="1">
      <c r="A14" t="s" s="9">
        <v>88</v>
      </c>
      <c r="B14" t="s" s="10">
        <v>10</v>
      </c>
      <c r="C14" t="s" s="11">
        <v>11</v>
      </c>
      <c r="D14" s="12">
        <v>10</v>
      </c>
      <c r="E14" s="12">
        <v>1.0627</v>
      </c>
      <c r="F14" s="12">
        <v>1.0516</v>
      </c>
      <c r="G14" s="12">
        <v>0.8226</v>
      </c>
      <c r="H14" s="13"/>
      <c r="I14" s="13"/>
      <c r="J14" s="13"/>
      <c r="K14" s="13"/>
      <c r="L14" s="13"/>
    </row>
    <row r="15" ht="80.05" customHeight="1">
      <c r="A15" t="s" s="9">
        <v>89</v>
      </c>
      <c r="B15" t="s" s="10">
        <v>10</v>
      </c>
      <c r="C15" t="s" s="11">
        <v>11</v>
      </c>
      <c r="D15" s="12">
        <v>20</v>
      </c>
      <c r="E15" s="12">
        <v>0.9573</v>
      </c>
      <c r="F15" s="12">
        <v>1.0435</v>
      </c>
      <c r="G15" s="12">
        <v>0.8236</v>
      </c>
      <c r="H15" s="13"/>
      <c r="I15" s="13"/>
      <c r="J15" s="13"/>
      <c r="K15" s="13"/>
      <c r="L15" s="13"/>
    </row>
    <row r="16" ht="80.05" customHeight="1">
      <c r="A16" t="s" s="9">
        <v>90</v>
      </c>
      <c r="B16" t="s" s="10">
        <v>10</v>
      </c>
      <c r="C16" t="s" s="11">
        <v>11</v>
      </c>
      <c r="D16" s="12">
        <v>13</v>
      </c>
      <c r="E16" s="12">
        <v>1.0565</v>
      </c>
      <c r="F16" s="12">
        <v>1.0399</v>
      </c>
      <c r="G16" s="12">
        <v>0.8250999999999999</v>
      </c>
      <c r="H16" s="13"/>
      <c r="I16" s="13"/>
      <c r="J16" s="13"/>
      <c r="K16" s="13"/>
      <c r="L16" s="15"/>
    </row>
    <row r="17" ht="80.05" customHeight="1">
      <c r="A17" t="s" s="9">
        <v>91</v>
      </c>
      <c r="B17" t="s" s="10">
        <v>10</v>
      </c>
      <c r="C17" t="s" s="11">
        <v>11</v>
      </c>
      <c r="D17" s="12">
        <v>11</v>
      </c>
      <c r="E17" s="12">
        <v>1.0668</v>
      </c>
      <c r="F17" s="12">
        <v>1.0416</v>
      </c>
      <c r="G17" s="12">
        <v>0.8246</v>
      </c>
      <c r="H17" s="13"/>
      <c r="I17" s="13"/>
      <c r="J17" s="13"/>
      <c r="K17" s="13"/>
      <c r="L17" s="13"/>
    </row>
    <row r="18" ht="20.05" customHeight="1">
      <c r="A18" s="16"/>
      <c r="B18" s="17"/>
      <c r="C18" s="13"/>
      <c r="D18" s="13"/>
      <c r="E18" s="13"/>
      <c r="F18" s="13"/>
      <c r="G18" s="13"/>
      <c r="H18" s="13"/>
      <c r="I18" s="13"/>
      <c r="J18" s="13"/>
      <c r="K18" s="13"/>
      <c r="L18" s="13"/>
    </row>
    <row r="19" ht="80.05" customHeight="1">
      <c r="A19" t="s" s="9">
        <v>92</v>
      </c>
      <c r="B19" t="s" s="10">
        <v>10</v>
      </c>
      <c r="C19" t="s" s="11">
        <v>11</v>
      </c>
      <c r="D19" s="12">
        <v>42</v>
      </c>
      <c r="E19" s="12">
        <v>0.0121</v>
      </c>
      <c r="F19" t="s" s="11">
        <v>93</v>
      </c>
      <c r="G19" s="12">
        <v>0.8234</v>
      </c>
      <c r="H19" s="13"/>
      <c r="I19" s="13"/>
      <c r="J19" s="13"/>
      <c r="K19" s="13"/>
      <c r="L19" s="13"/>
    </row>
    <row r="20" ht="92.05" customHeight="1">
      <c r="A20" t="s" s="9">
        <v>94</v>
      </c>
      <c r="B20" t="s" s="10">
        <v>10</v>
      </c>
      <c r="C20" t="s" s="11">
        <v>11</v>
      </c>
      <c r="D20" s="12">
        <v>66</v>
      </c>
      <c r="E20" s="12">
        <v>0.0123</v>
      </c>
      <c r="F20" t="s" s="11">
        <v>95</v>
      </c>
      <c r="G20" s="12">
        <v>0.8239</v>
      </c>
      <c r="H20" s="13"/>
      <c r="I20" s="13"/>
      <c r="J20" s="13"/>
      <c r="K20" s="13"/>
      <c r="L20" s="13"/>
    </row>
    <row r="21" ht="92.05" customHeight="1">
      <c r="A21" t="s" s="9">
        <v>96</v>
      </c>
      <c r="B21" t="s" s="10">
        <v>10</v>
      </c>
      <c r="C21" t="s" s="11">
        <v>11</v>
      </c>
      <c r="D21" s="12">
        <v>87</v>
      </c>
      <c r="E21" s="12">
        <v>0.0114</v>
      </c>
      <c r="F21" t="s" s="11">
        <v>97</v>
      </c>
      <c r="G21" s="12">
        <v>0.8263</v>
      </c>
      <c r="H21" s="13"/>
      <c r="I21" s="13"/>
      <c r="J21" s="13"/>
      <c r="K21" s="13"/>
      <c r="L21" s="13"/>
    </row>
    <row r="22" ht="20.05" customHeight="1">
      <c r="A22" s="16"/>
      <c r="B22" s="17"/>
      <c r="C22" s="13"/>
      <c r="D22" s="13"/>
      <c r="E22" s="13"/>
      <c r="F22" s="13"/>
      <c r="G22" s="13"/>
      <c r="H22" s="13"/>
      <c r="I22" s="13"/>
      <c r="J22" s="13"/>
      <c r="K22" s="13"/>
      <c r="L22" s="13"/>
    </row>
    <row r="23" ht="92.05" customHeight="1">
      <c r="A23" t="s" s="9">
        <v>98</v>
      </c>
      <c r="B23" t="s" s="10">
        <v>10</v>
      </c>
      <c r="C23" t="s" s="11">
        <v>11</v>
      </c>
      <c r="D23" s="12">
        <v>99</v>
      </c>
      <c r="E23" s="12">
        <v>0.0113</v>
      </c>
      <c r="F23" t="s" s="11">
        <v>99</v>
      </c>
      <c r="G23" s="12">
        <v>0.826</v>
      </c>
      <c r="H23" s="13"/>
      <c r="I23" s="13"/>
      <c r="J23" s="13"/>
      <c r="K23" s="13"/>
      <c r="L23" s="13"/>
    </row>
    <row r="24" ht="92.05" customHeight="1">
      <c r="A24" t="s" s="9">
        <v>100</v>
      </c>
      <c r="B24" t="s" s="10">
        <v>10</v>
      </c>
      <c r="C24" t="s" s="11">
        <v>11</v>
      </c>
      <c r="D24" s="12">
        <v>72</v>
      </c>
      <c r="E24" s="12">
        <v>0.0115</v>
      </c>
      <c r="F24" t="s" s="11">
        <v>101</v>
      </c>
      <c r="G24" s="12">
        <v>0.826</v>
      </c>
      <c r="H24" s="13"/>
      <c r="I24" s="13"/>
      <c r="J24" s="13"/>
      <c r="K24" s="13"/>
      <c r="L24" s="13"/>
    </row>
    <row r="25" ht="20.05" customHeight="1">
      <c r="A25" t="s" s="9">
        <v>102</v>
      </c>
      <c r="B25" s="17"/>
      <c r="C25" s="13"/>
      <c r="D25" s="13"/>
      <c r="E25" s="13"/>
      <c r="F25" s="13"/>
      <c r="G25" s="13"/>
      <c r="H25" s="13"/>
      <c r="I25" s="13"/>
      <c r="J25" s="13"/>
      <c r="K25" s="13"/>
      <c r="L25" s="13"/>
    </row>
    <row r="26" ht="80.05" customHeight="1">
      <c r="A26" t="s" s="9">
        <v>103</v>
      </c>
      <c r="B26" t="s" s="10">
        <v>10</v>
      </c>
      <c r="C26" t="s" s="11">
        <v>11</v>
      </c>
      <c r="D26" s="13"/>
      <c r="E26" s="13"/>
      <c r="F26" s="13"/>
      <c r="G26" s="13"/>
      <c r="H26" s="13"/>
      <c r="I26" s="13"/>
      <c r="J26" s="13"/>
      <c r="K26" s="13"/>
      <c r="L26" s="13"/>
    </row>
    <row r="27" ht="80.05" customHeight="1">
      <c r="A27" t="s" s="9">
        <v>104</v>
      </c>
      <c r="B27" t="s" s="10">
        <v>10</v>
      </c>
      <c r="C27" t="s" s="11">
        <v>11</v>
      </c>
      <c r="D27" s="13"/>
      <c r="E27" s="13"/>
      <c r="F27" s="13"/>
      <c r="G27" s="15"/>
      <c r="H27" s="15"/>
      <c r="I27" s="15"/>
      <c r="J27" s="15"/>
      <c r="K27" s="15"/>
      <c r="L27" s="13"/>
    </row>
    <row r="28" ht="80.05" customHeight="1">
      <c r="A28" t="s" s="9">
        <v>105</v>
      </c>
      <c r="B28" t="s" s="10">
        <v>10</v>
      </c>
      <c r="C28" t="s" s="11">
        <v>11</v>
      </c>
      <c r="D28" s="13"/>
      <c r="E28" s="13"/>
      <c r="F28" s="13"/>
      <c r="G28" s="13"/>
      <c r="H28" s="13"/>
      <c r="I28" s="13"/>
      <c r="J28" s="13"/>
      <c r="K28" s="13"/>
      <c r="L28" s="13"/>
    </row>
    <row r="29" ht="80.05" customHeight="1">
      <c r="A29" t="s" s="9">
        <v>106</v>
      </c>
      <c r="B29" t="s" s="10">
        <v>10</v>
      </c>
      <c r="C29" t="s" s="11">
        <v>11</v>
      </c>
      <c r="D29" s="13"/>
      <c r="E29" s="13"/>
      <c r="F29" s="13"/>
      <c r="G29" s="13"/>
      <c r="H29" s="13"/>
      <c r="I29" s="13"/>
      <c r="J29" s="13"/>
      <c r="K29" s="13"/>
      <c r="L29" s="13"/>
    </row>
    <row r="30" ht="20.05" customHeight="1">
      <c r="A30" t="s" s="9">
        <v>107</v>
      </c>
      <c r="B30" s="17"/>
      <c r="C30" s="13"/>
      <c r="D30" s="13"/>
      <c r="E30" s="13"/>
      <c r="F30" s="13"/>
      <c r="G30" s="13"/>
      <c r="H30" s="13"/>
      <c r="I30" s="13"/>
      <c r="J30" s="13"/>
      <c r="K30" s="13"/>
      <c r="L30" s="13"/>
    </row>
    <row r="31" ht="92.05" customHeight="1">
      <c r="A31" t="s" s="9">
        <v>108</v>
      </c>
      <c r="B31" t="s" s="10">
        <v>10</v>
      </c>
      <c r="C31" t="s" s="11">
        <v>11</v>
      </c>
      <c r="D31" s="12">
        <v>51</v>
      </c>
      <c r="E31" s="12">
        <v>0.9182</v>
      </c>
      <c r="F31" s="12">
        <v>1.0255</v>
      </c>
      <c r="G31" s="12">
        <v>0.8278</v>
      </c>
      <c r="H31" s="13"/>
      <c r="I31" s="13"/>
      <c r="J31" s="13"/>
      <c r="K31" s="13"/>
      <c r="L31" s="13"/>
    </row>
    <row r="32" ht="92.05" customHeight="1">
      <c r="A32" t="s" s="9">
        <v>109</v>
      </c>
      <c r="B32" t="s" s="10">
        <v>10</v>
      </c>
      <c r="C32" t="s" s="11">
        <v>11</v>
      </c>
      <c r="D32" s="12">
        <v>57</v>
      </c>
      <c r="E32" s="12">
        <v>0.8992</v>
      </c>
      <c r="F32" s="12">
        <v>1.0351</v>
      </c>
      <c r="G32" s="12">
        <v>0.8253</v>
      </c>
      <c r="H32" s="13"/>
      <c r="I32" s="13"/>
      <c r="J32" s="13"/>
      <c r="K32" s="13"/>
      <c r="L32" s="13"/>
    </row>
    <row r="33" ht="20.05" customHeight="1">
      <c r="A33" s="16"/>
      <c r="B33" s="17"/>
      <c r="C33" s="13"/>
      <c r="D33" s="13"/>
      <c r="E33" s="13"/>
      <c r="F33" s="13"/>
      <c r="G33" s="13"/>
      <c r="H33" s="13"/>
      <c r="I33" s="13"/>
      <c r="J33" s="13"/>
      <c r="K33" s="13"/>
      <c r="L33" s="13"/>
    </row>
    <row r="34" ht="92.05" customHeight="1">
      <c r="A34" t="s" s="9">
        <v>110</v>
      </c>
      <c r="B34" t="s" s="10">
        <v>10</v>
      </c>
      <c r="C34" t="s" s="11">
        <v>111</v>
      </c>
      <c r="D34" s="12">
        <v>100</v>
      </c>
      <c r="E34" s="12">
        <v>0.5439000000000001</v>
      </c>
      <c r="F34" t="s" s="11">
        <v>112</v>
      </c>
      <c r="G34" s="12">
        <v>0.8683</v>
      </c>
      <c r="H34" s="12">
        <v>0.9308</v>
      </c>
      <c r="I34" s="12">
        <v>0.325</v>
      </c>
      <c r="J34" s="12">
        <v>0.5723</v>
      </c>
      <c r="K34" s="13"/>
      <c r="L34" s="13"/>
    </row>
    <row r="35" ht="92.05" customHeight="1">
      <c r="A35" t="s" s="9">
        <v>110</v>
      </c>
      <c r="B35" t="s" s="10">
        <v>10</v>
      </c>
      <c r="C35" t="s" s="11">
        <v>11</v>
      </c>
      <c r="D35" s="12">
        <v>26</v>
      </c>
      <c r="E35" s="12">
        <v>0.7657</v>
      </c>
      <c r="F35" t="s" s="11">
        <v>113</v>
      </c>
      <c r="G35" s="12">
        <v>0.8237</v>
      </c>
      <c r="H35" s="12">
        <v>0.9056999999999999</v>
      </c>
      <c r="I35" s="12">
        <v>0.1186</v>
      </c>
      <c r="J35" s="12">
        <v>0.4012</v>
      </c>
      <c r="K35" s="13"/>
      <c r="L35" s="13"/>
    </row>
    <row r="36" ht="92.05" customHeight="1">
      <c r="A36" t="s" s="9">
        <v>114</v>
      </c>
      <c r="B36" t="s" s="10">
        <v>10</v>
      </c>
      <c r="C36" t="s" s="11">
        <v>11</v>
      </c>
      <c r="D36" s="12">
        <v>46</v>
      </c>
      <c r="E36" s="12">
        <v>0.6445</v>
      </c>
      <c r="F36" t="s" s="11">
        <v>115</v>
      </c>
      <c r="G36" s="12">
        <v>0.8264</v>
      </c>
      <c r="H36" s="12">
        <v>0.907</v>
      </c>
      <c r="I36" s="12">
        <v>0.1325</v>
      </c>
      <c r="J36" s="12">
        <v>0.422</v>
      </c>
      <c r="K36" s="13"/>
      <c r="L36" s="13"/>
    </row>
    <row r="37" ht="92.05" customHeight="1">
      <c r="A37" t="s" s="9">
        <v>116</v>
      </c>
      <c r="B37" t="s" s="10">
        <v>10</v>
      </c>
      <c r="C37" t="s" s="11">
        <v>11</v>
      </c>
      <c r="D37" s="12">
        <v>59</v>
      </c>
      <c r="E37" s="12">
        <v>0.6006</v>
      </c>
      <c r="F37" t="s" s="11">
        <v>117</v>
      </c>
      <c r="G37" s="14">
        <v>0.8286</v>
      </c>
      <c r="H37" s="12">
        <v>0.9081</v>
      </c>
      <c r="I37" s="12">
        <v>0.1433</v>
      </c>
      <c r="J37" s="12">
        <v>0.4222</v>
      </c>
      <c r="K37" s="13"/>
      <c r="L37" s="13"/>
    </row>
    <row r="38" ht="92.05" customHeight="1">
      <c r="A38" t="s" s="9">
        <v>118</v>
      </c>
      <c r="B38" t="s" s="10">
        <v>10</v>
      </c>
      <c r="C38" t="s" s="11">
        <v>11</v>
      </c>
      <c r="D38" s="12">
        <v>31</v>
      </c>
      <c r="E38" s="12">
        <v>0.7337</v>
      </c>
      <c r="F38" t="s" s="11">
        <v>119</v>
      </c>
      <c r="G38" s="14">
        <v>0.829</v>
      </c>
      <c r="H38" s="12">
        <v>0.9082</v>
      </c>
      <c r="I38" s="12">
        <v>0.1519</v>
      </c>
      <c r="J38" s="12">
        <v>0.4263</v>
      </c>
      <c r="K38" s="13"/>
      <c r="L38" s="13"/>
    </row>
    <row r="39" ht="104.05" customHeight="1">
      <c r="A39" t="s" s="9">
        <v>120</v>
      </c>
      <c r="B39" t="s" s="10">
        <v>10</v>
      </c>
      <c r="C39" t="s" s="11">
        <v>11</v>
      </c>
      <c r="D39" s="12">
        <v>73</v>
      </c>
      <c r="E39" s="12">
        <v>0.5991</v>
      </c>
      <c r="F39" t="s" s="11">
        <v>121</v>
      </c>
      <c r="G39" s="12">
        <v>0.8137</v>
      </c>
      <c r="H39" s="12">
        <v>0.9015</v>
      </c>
      <c r="I39" s="12">
        <v>0.0065</v>
      </c>
      <c r="J39" s="12">
        <v>0.4115</v>
      </c>
      <c r="K39" s="13"/>
      <c r="L39" s="13"/>
    </row>
    <row r="40" ht="104.05" customHeight="1">
      <c r="A40" t="s" s="9">
        <v>122</v>
      </c>
      <c r="B40" t="s" s="10">
        <v>10</v>
      </c>
      <c r="C40" t="s" s="11">
        <v>11</v>
      </c>
      <c r="D40" s="12">
        <v>52</v>
      </c>
      <c r="E40" s="12">
        <v>0.6382</v>
      </c>
      <c r="F40" t="s" s="11">
        <v>123</v>
      </c>
      <c r="G40" s="12">
        <v>0.8337</v>
      </c>
      <c r="H40" s="12">
        <v>0.9111</v>
      </c>
      <c r="I40" s="12">
        <v>0.1469</v>
      </c>
      <c r="J40" s="12">
        <v>0.4748</v>
      </c>
      <c r="K40" s="13"/>
      <c r="L40" s="13"/>
    </row>
    <row r="41" ht="116.05" customHeight="1">
      <c r="A41" t="s" s="9">
        <v>124</v>
      </c>
      <c r="B41" t="s" s="10">
        <v>10</v>
      </c>
      <c r="C41" t="s" s="11">
        <v>11</v>
      </c>
      <c r="D41" s="12">
        <v>74</v>
      </c>
      <c r="E41" s="12">
        <v>0.5552</v>
      </c>
      <c r="F41" t="s" s="11">
        <v>125</v>
      </c>
      <c r="G41" s="14">
        <v>0.842</v>
      </c>
      <c r="H41" s="12">
        <v>0.9155</v>
      </c>
      <c r="I41" s="12">
        <v>0.2035</v>
      </c>
      <c r="J41" s="14">
        <v>0.5072</v>
      </c>
      <c r="K41" s="15"/>
      <c r="L41" s="13"/>
    </row>
    <row r="42" ht="116.05" customHeight="1">
      <c r="A42" t="s" s="9">
        <v>126</v>
      </c>
      <c r="B42" t="s" s="10">
        <v>10</v>
      </c>
      <c r="C42" t="s" s="11">
        <v>11</v>
      </c>
      <c r="D42" s="12">
        <v>86</v>
      </c>
      <c r="E42" s="12">
        <v>0.5753</v>
      </c>
      <c r="F42" t="s" s="11">
        <v>127</v>
      </c>
      <c r="G42" s="12">
        <v>0.8381</v>
      </c>
      <c r="H42" s="12">
        <v>0.9136</v>
      </c>
      <c r="I42" s="12">
        <v>0.1743</v>
      </c>
      <c r="J42" s="12">
        <v>0.4927</v>
      </c>
      <c r="K42" s="13"/>
      <c r="L42" s="13"/>
    </row>
    <row r="43" ht="128.05" customHeight="1">
      <c r="A43" t="s" s="9">
        <v>128</v>
      </c>
      <c r="B43" t="s" s="10">
        <v>10</v>
      </c>
      <c r="C43" t="s" s="11">
        <v>11</v>
      </c>
      <c r="D43" s="12">
        <v>41</v>
      </c>
      <c r="E43" s="12">
        <v>0.6194</v>
      </c>
      <c r="F43" t="s" s="11">
        <v>129</v>
      </c>
      <c r="G43" s="12">
        <v>0.8407</v>
      </c>
      <c r="H43" s="12">
        <v>0.9147</v>
      </c>
      <c r="I43" s="12">
        <v>0.1985</v>
      </c>
      <c r="J43" s="12">
        <v>0.4962</v>
      </c>
      <c r="K43" s="13"/>
      <c r="L43" s="13"/>
    </row>
    <row r="44" ht="116.05" customHeight="1">
      <c r="A44" t="s" s="9">
        <v>130</v>
      </c>
      <c r="B44" t="s" s="10">
        <v>10</v>
      </c>
      <c r="C44" t="s" s="11">
        <v>11</v>
      </c>
      <c r="D44" s="12">
        <v>61</v>
      </c>
      <c r="E44" s="12">
        <v>0.5738</v>
      </c>
      <c r="F44" t="s" s="11">
        <v>131</v>
      </c>
      <c r="G44" s="12">
        <v>0.8411</v>
      </c>
      <c r="H44" s="12">
        <v>0.9149</v>
      </c>
      <c r="I44" s="12">
        <v>0.1959</v>
      </c>
      <c r="J44" s="14">
        <v>0.5067</v>
      </c>
      <c r="K44" s="15"/>
      <c r="L44" s="13"/>
    </row>
    <row r="45" ht="116.05" customHeight="1">
      <c r="A45" t="s" s="9">
        <v>132</v>
      </c>
      <c r="B45" t="s" s="10">
        <v>10</v>
      </c>
      <c r="C45" t="s" s="11">
        <v>11</v>
      </c>
      <c r="D45" s="12">
        <v>54</v>
      </c>
      <c r="E45" s="12">
        <v>0.5804</v>
      </c>
      <c r="F45" t="s" s="11">
        <v>133</v>
      </c>
      <c r="G45" s="14">
        <v>0.8423</v>
      </c>
      <c r="H45" s="14">
        <v>0.9157</v>
      </c>
      <c r="I45" s="14">
        <v>0.2124</v>
      </c>
      <c r="J45" s="12">
        <v>0.5061</v>
      </c>
      <c r="K45" s="13"/>
      <c r="L45" s="13"/>
    </row>
    <row r="46" ht="116.05" customHeight="1">
      <c r="A46" t="s" s="9">
        <v>132</v>
      </c>
      <c r="B46" t="s" s="10">
        <v>10</v>
      </c>
      <c r="C46" t="s" s="11">
        <v>111</v>
      </c>
      <c r="D46" s="12">
        <v>95</v>
      </c>
      <c r="E46" s="12">
        <v>0.5594</v>
      </c>
      <c r="F46" t="s" s="11">
        <v>134</v>
      </c>
      <c r="G46" s="14">
        <v>0.8792</v>
      </c>
      <c r="H46" s="14">
        <v>0.9366</v>
      </c>
      <c r="I46" s="14">
        <v>0.3809</v>
      </c>
      <c r="J46" s="12">
        <v>0.6213</v>
      </c>
      <c r="K46" s="13"/>
      <c r="L46" s="13"/>
    </row>
    <row r="47" ht="116.05" customHeight="1">
      <c r="A47" t="s" s="9">
        <v>135</v>
      </c>
      <c r="B47" t="s" s="10">
        <v>10</v>
      </c>
      <c r="C47" t="s" s="11">
        <v>11</v>
      </c>
      <c r="D47" s="12">
        <v>6</v>
      </c>
      <c r="E47" s="12">
        <v>0.8262</v>
      </c>
      <c r="F47" t="s" s="11">
        <v>136</v>
      </c>
      <c r="G47" s="12">
        <v>0.8257</v>
      </c>
      <c r="H47" s="12">
        <v>0.9068000000000001</v>
      </c>
      <c r="I47" s="12">
        <v>0.09370000000000001</v>
      </c>
      <c r="J47" s="12">
        <v>0.452</v>
      </c>
      <c r="K47" s="13"/>
      <c r="L47" s="13"/>
    </row>
    <row r="48" ht="116.05" customHeight="1">
      <c r="A48" t="s" s="9">
        <v>137</v>
      </c>
      <c r="B48" t="s" s="10">
        <v>10</v>
      </c>
      <c r="C48" t="s" s="11">
        <v>11</v>
      </c>
      <c r="D48" s="12">
        <v>4</v>
      </c>
      <c r="E48" s="12">
        <v>0.8551</v>
      </c>
      <c r="F48" t="s" s="11">
        <v>138</v>
      </c>
      <c r="G48" s="12">
        <v>0.8194</v>
      </c>
      <c r="H48" s="12">
        <v>0.904</v>
      </c>
      <c r="I48" s="12">
        <v>0.0538</v>
      </c>
      <c r="J48" s="12">
        <v>0.4333</v>
      </c>
      <c r="K48" s="13"/>
      <c r="L48" s="13"/>
    </row>
    <row r="49" ht="20.05" customHeight="1">
      <c r="A49" s="16"/>
      <c r="B49" s="17"/>
      <c r="C49" s="13"/>
      <c r="D49" s="13"/>
      <c r="E49" s="13"/>
      <c r="F49" s="13"/>
      <c r="G49" s="13"/>
      <c r="H49" s="13"/>
      <c r="I49" s="13"/>
      <c r="J49" s="13"/>
      <c r="K49" s="13"/>
      <c r="L49" s="13"/>
    </row>
    <row r="50" ht="128.05" customHeight="1">
      <c r="A50" t="s" s="9">
        <v>139</v>
      </c>
      <c r="B50" t="s" s="10">
        <v>10</v>
      </c>
      <c r="C50" t="s" s="11">
        <v>11</v>
      </c>
      <c r="D50" s="12">
        <v>13</v>
      </c>
      <c r="E50" s="12">
        <v>0.771</v>
      </c>
      <c r="F50" t="s" s="11">
        <v>140</v>
      </c>
      <c r="G50" s="12">
        <v>0.8371</v>
      </c>
      <c r="H50" s="12">
        <v>0.9131</v>
      </c>
      <c r="I50" s="12">
        <v>0.176</v>
      </c>
      <c r="J50" s="12">
        <v>0.4901</v>
      </c>
      <c r="K50" s="13"/>
      <c r="L50" s="13"/>
    </row>
    <row r="51" ht="128.05" customHeight="1">
      <c r="A51" t="s" s="9">
        <v>141</v>
      </c>
      <c r="B51" t="s" s="10">
        <v>10</v>
      </c>
      <c r="C51" t="s" s="11">
        <v>11</v>
      </c>
      <c r="D51" s="12">
        <v>99</v>
      </c>
      <c r="E51" s="12">
        <v>0.5482</v>
      </c>
      <c r="F51" t="s" s="11">
        <v>142</v>
      </c>
      <c r="G51" s="12">
        <v>0.8396</v>
      </c>
      <c r="H51" s="12">
        <v>0.9142</v>
      </c>
      <c r="I51" s="12">
        <v>0.1823</v>
      </c>
      <c r="J51" s="12">
        <v>0.5003</v>
      </c>
      <c r="K51" s="13"/>
      <c r="L51" s="13"/>
    </row>
    <row r="52" ht="20.05" customHeight="1">
      <c r="A52" s="16"/>
      <c r="B52" s="17"/>
      <c r="C52" s="13"/>
      <c r="D52" s="13"/>
      <c r="E52" s="13"/>
      <c r="F52" s="13"/>
      <c r="G52" s="13"/>
      <c r="H52" s="13"/>
      <c r="I52" s="13"/>
      <c r="J52" s="13"/>
      <c r="K52" s="13"/>
      <c r="L52" s="13"/>
    </row>
    <row r="53" ht="128.05" customHeight="1">
      <c r="A53" t="s" s="9">
        <v>143</v>
      </c>
      <c r="B53" t="s" s="10">
        <v>10</v>
      </c>
      <c r="C53" t="s" s="11">
        <v>11</v>
      </c>
      <c r="D53" s="12">
        <v>42</v>
      </c>
      <c r="E53" s="12">
        <v>0.595</v>
      </c>
      <c r="F53" t="s" s="11">
        <v>144</v>
      </c>
      <c r="G53" s="12">
        <v>0.8405</v>
      </c>
      <c r="H53" s="12">
        <v>0.9147</v>
      </c>
      <c r="I53" s="12">
        <v>0.1918</v>
      </c>
      <c r="J53" s="12">
        <v>0.5006</v>
      </c>
      <c r="K53" s="13"/>
      <c r="L53" s="13"/>
    </row>
    <row r="54" ht="128.05" customHeight="1">
      <c r="A54" t="s" s="9">
        <v>145</v>
      </c>
      <c r="B54" t="s" s="10">
        <v>10</v>
      </c>
      <c r="C54" t="s" s="11">
        <v>11</v>
      </c>
      <c r="D54" s="12">
        <v>14</v>
      </c>
      <c r="E54" s="12">
        <v>0.7679</v>
      </c>
      <c r="F54" t="s" s="11">
        <v>146</v>
      </c>
      <c r="G54" s="12">
        <v>0.8365</v>
      </c>
      <c r="H54" s="12">
        <v>0.9126</v>
      </c>
      <c r="I54" s="12">
        <v>0.1682</v>
      </c>
      <c r="J54" s="12">
        <v>0.4858</v>
      </c>
      <c r="K54" s="13"/>
      <c r="L54" s="13"/>
    </row>
    <row r="55" ht="128.05" customHeight="1">
      <c r="A55" t="s" s="9">
        <v>147</v>
      </c>
      <c r="B55" t="s" s="10">
        <v>10</v>
      </c>
      <c r="C55" t="s" s="11">
        <v>11</v>
      </c>
      <c r="D55" s="12">
        <v>22</v>
      </c>
      <c r="E55" s="12">
        <v>0.6918</v>
      </c>
      <c r="F55" t="s" s="11">
        <v>148</v>
      </c>
      <c r="G55" s="12">
        <v>0.8381999999999999</v>
      </c>
      <c r="H55" s="12">
        <v>0.9134</v>
      </c>
      <c r="I55" s="12">
        <v>0.1756</v>
      </c>
      <c r="J55" s="12">
        <v>0.4932</v>
      </c>
      <c r="K55" s="13"/>
      <c r="L55" s="13"/>
    </row>
    <row r="56" ht="20.05" customHeight="1">
      <c r="A56" s="16"/>
      <c r="B56" s="17"/>
      <c r="C56" s="13"/>
      <c r="D56" s="13"/>
      <c r="E56" s="13"/>
      <c r="F56" s="13"/>
      <c r="G56" s="13"/>
      <c r="H56" s="13"/>
      <c r="I56" s="13"/>
      <c r="J56" s="13"/>
      <c r="K56" s="13"/>
      <c r="L56" s="13"/>
    </row>
    <row r="57" ht="116.05" customHeight="1">
      <c r="A57" t="s" s="9">
        <v>149</v>
      </c>
      <c r="B57" t="s" s="10">
        <v>10</v>
      </c>
      <c r="C57" t="s" s="11">
        <v>11</v>
      </c>
      <c r="D57" s="12">
        <v>25</v>
      </c>
      <c r="E57" s="12">
        <v>0.7641</v>
      </c>
      <c r="F57" t="s" s="11">
        <v>150</v>
      </c>
      <c r="G57" s="12">
        <v>0.8401999999999999</v>
      </c>
      <c r="H57" s="12">
        <v>0.9147999999999999</v>
      </c>
      <c r="I57" s="12">
        <v>0.2005</v>
      </c>
      <c r="J57" s="12">
        <v>0.4997</v>
      </c>
      <c r="K57" s="13"/>
      <c r="L57" s="13"/>
    </row>
    <row r="58" ht="116.05" customHeight="1">
      <c r="A58" t="s" s="9">
        <v>151</v>
      </c>
      <c r="B58" t="s" s="10">
        <v>10</v>
      </c>
      <c r="C58" t="s" s="11">
        <v>11</v>
      </c>
      <c r="D58" s="12">
        <v>73</v>
      </c>
      <c r="E58" s="12">
        <v>0.38</v>
      </c>
      <c r="F58" t="s" s="11">
        <v>152</v>
      </c>
      <c r="G58" s="12">
        <v>0.8407</v>
      </c>
      <c r="H58" s="12">
        <v>0.9147999999999999</v>
      </c>
      <c r="I58" s="12">
        <v>0.1859</v>
      </c>
      <c r="J58" s="12">
        <v>0.5062</v>
      </c>
      <c r="K58" s="13"/>
      <c r="L58" s="13"/>
    </row>
    <row r="59" ht="116.05" customHeight="1">
      <c r="A59" t="s" s="9">
        <v>153</v>
      </c>
      <c r="B59" t="s" s="10">
        <v>10</v>
      </c>
      <c r="C59" t="s" s="11">
        <v>11</v>
      </c>
      <c r="D59" s="12">
        <v>45</v>
      </c>
      <c r="E59" s="12">
        <v>0.1622</v>
      </c>
      <c r="F59" t="s" s="11">
        <v>154</v>
      </c>
      <c r="G59" s="12">
        <v>0.8407</v>
      </c>
      <c r="H59" s="12">
        <v>0.9147999999999999</v>
      </c>
      <c r="I59" s="12">
        <v>0.1927</v>
      </c>
      <c r="J59" s="12">
        <v>0.5087</v>
      </c>
      <c r="K59" s="13"/>
      <c r="L59" s="13"/>
    </row>
    <row r="60" ht="116.05" customHeight="1">
      <c r="A60" t="s" s="9">
        <v>155</v>
      </c>
      <c r="B60" t="s" s="10">
        <v>10</v>
      </c>
      <c r="C60" t="s" s="11">
        <v>11</v>
      </c>
      <c r="D60" s="12">
        <v>55</v>
      </c>
      <c r="E60" s="12">
        <v>-0.4946</v>
      </c>
      <c r="F60" t="s" s="11">
        <v>156</v>
      </c>
      <c r="G60" s="12">
        <v>0.8344</v>
      </c>
      <c r="H60" s="12">
        <v>0.9116</v>
      </c>
      <c r="I60" s="12">
        <v>0.1434</v>
      </c>
      <c r="J60" s="12">
        <v>0.4981</v>
      </c>
      <c r="K60" s="13"/>
      <c r="L60" s="13"/>
    </row>
    <row r="61" ht="20.05" customHeight="1">
      <c r="A61" t="s" s="9">
        <v>157</v>
      </c>
      <c r="B61" s="17"/>
      <c r="C61" s="13"/>
      <c r="D61" s="13"/>
      <c r="E61" s="13"/>
      <c r="F61" s="13"/>
      <c r="G61" s="13"/>
      <c r="H61" s="13"/>
      <c r="I61" s="13"/>
      <c r="J61" s="13"/>
      <c r="K61" s="13"/>
      <c r="L61" s="13"/>
    </row>
    <row r="62" ht="116.05" customHeight="1">
      <c r="A62" t="s" s="9">
        <v>158</v>
      </c>
      <c r="B62" t="s" s="10">
        <v>10</v>
      </c>
      <c r="C62" t="s" s="11">
        <v>111</v>
      </c>
      <c r="D62" s="12">
        <v>94</v>
      </c>
      <c r="E62" s="12">
        <v>0.5689</v>
      </c>
      <c r="F62" t="s" s="11">
        <v>159</v>
      </c>
      <c r="G62" s="12">
        <v>0.8788</v>
      </c>
      <c r="H62" s="12">
        <v>0.9364</v>
      </c>
      <c r="I62" s="12">
        <v>0.38</v>
      </c>
      <c r="J62" s="12">
        <v>0.6197</v>
      </c>
      <c r="K62" s="13"/>
      <c r="L62" s="13"/>
    </row>
    <row r="63" ht="20.05" customHeight="1">
      <c r="A63" t="s" s="9">
        <v>160</v>
      </c>
      <c r="B63" s="17"/>
      <c r="C63" s="13"/>
      <c r="D63" s="13"/>
      <c r="E63" s="13"/>
      <c r="F63" s="13"/>
      <c r="G63" s="13"/>
      <c r="H63" s="13"/>
      <c r="I63" s="13"/>
      <c r="J63" s="13"/>
      <c r="K63" s="13"/>
      <c r="L63" s="13"/>
    </row>
    <row r="64" ht="128.05" customHeight="1">
      <c r="A64" t="s" s="9">
        <v>161</v>
      </c>
      <c r="B64" t="s" s="10">
        <v>10</v>
      </c>
      <c r="C64" t="s" s="11">
        <v>111</v>
      </c>
      <c r="D64" s="12">
        <v>75</v>
      </c>
      <c r="E64" s="12">
        <v>0.5629999999999999</v>
      </c>
      <c r="F64" t="s" s="11">
        <v>162</v>
      </c>
      <c r="G64" s="12">
        <v>0.8639</v>
      </c>
      <c r="H64" s="12">
        <v>0.9285</v>
      </c>
      <c r="I64" s="12">
        <v>0.2803</v>
      </c>
      <c r="J64" s="12">
        <v>0.5518999999999999</v>
      </c>
      <c r="K64" s="13"/>
      <c r="L64" s="13"/>
    </row>
    <row r="65" ht="20.05" customHeight="1">
      <c r="A65" t="s" s="9">
        <v>163</v>
      </c>
      <c r="B65" s="17"/>
      <c r="C65" s="13"/>
      <c r="D65" s="13"/>
      <c r="E65" s="13"/>
      <c r="F65" s="13"/>
      <c r="G65" s="13"/>
      <c r="H65" s="13"/>
      <c r="I65" s="13"/>
      <c r="J65" s="13"/>
      <c r="K65" s="13"/>
      <c r="L65" s="13"/>
    </row>
    <row r="66" ht="128.05" customHeight="1">
      <c r="A66" t="s" s="9">
        <v>164</v>
      </c>
      <c r="B66" t="s" s="10">
        <v>10</v>
      </c>
      <c r="C66" t="s" s="11">
        <v>111</v>
      </c>
      <c r="D66" s="12">
        <v>95</v>
      </c>
      <c r="E66" s="12">
        <v>0.5453</v>
      </c>
      <c r="F66" t="s" s="11">
        <v>165</v>
      </c>
      <c r="G66" s="12">
        <v>0.8783</v>
      </c>
      <c r="H66" s="12">
        <v>0.9362</v>
      </c>
      <c r="I66" s="12">
        <v>0.3759</v>
      </c>
      <c r="J66" s="12">
        <v>0.62</v>
      </c>
      <c r="K66" s="13"/>
      <c r="L66" s="13"/>
    </row>
    <row r="67" ht="20.05" customHeight="1">
      <c r="A67" t="s" s="9">
        <v>166</v>
      </c>
      <c r="B67" s="17"/>
      <c r="C67" s="13"/>
      <c r="D67" s="13"/>
      <c r="E67" s="13"/>
      <c r="F67" s="13"/>
      <c r="G67" s="13"/>
      <c r="H67" s="13"/>
      <c r="I67" s="13"/>
      <c r="J67" s="13"/>
      <c r="K67" s="13"/>
      <c r="L67" s="13"/>
    </row>
    <row r="68" ht="128.05" customHeight="1">
      <c r="A68" t="s" s="9">
        <v>167</v>
      </c>
      <c r="B68" t="s" s="10">
        <v>10</v>
      </c>
      <c r="C68" t="s" s="11">
        <v>111</v>
      </c>
      <c r="D68" s="12">
        <v>95</v>
      </c>
      <c r="E68" s="12">
        <v>0.5588</v>
      </c>
      <c r="F68" t="s" s="19">
        <v>168</v>
      </c>
      <c r="G68" s="14">
        <v>0.8793</v>
      </c>
      <c r="H68" s="14">
        <v>0.9367</v>
      </c>
      <c r="I68" s="14">
        <v>0.3834</v>
      </c>
      <c r="J68" s="14">
        <v>0.6221</v>
      </c>
      <c r="K68" s="15"/>
      <c r="L68" t="s" s="11">
        <v>169</v>
      </c>
    </row>
    <row r="69" ht="128.05" customHeight="1">
      <c r="A69" t="s" s="9">
        <v>167</v>
      </c>
      <c r="B69" t="s" s="10">
        <v>10</v>
      </c>
      <c r="C69" t="s" s="11">
        <v>11</v>
      </c>
      <c r="D69" s="12">
        <v>65</v>
      </c>
      <c r="E69" s="12">
        <v>0.5614</v>
      </c>
      <c r="F69" t="s" s="19">
        <v>170</v>
      </c>
      <c r="G69" s="14">
        <v>0.8428</v>
      </c>
      <c r="H69" s="14">
        <v>0.9157999999999999</v>
      </c>
      <c r="I69" s="12">
        <v>0.2065</v>
      </c>
      <c r="J69" s="14">
        <v>0.5088</v>
      </c>
      <c r="K69" s="15"/>
      <c r="L69" s="13"/>
    </row>
    <row r="70" ht="20.05" customHeight="1">
      <c r="A70" t="s" s="9">
        <v>171</v>
      </c>
      <c r="B70" s="17"/>
      <c r="C70" s="13"/>
      <c r="D70" s="13"/>
      <c r="E70" s="13"/>
      <c r="F70" s="13"/>
      <c r="G70" s="13"/>
      <c r="H70" s="13"/>
      <c r="I70" s="13"/>
      <c r="J70" s="13"/>
      <c r="K70" s="13"/>
      <c r="L70" s="13"/>
    </row>
    <row r="71" ht="128.05" customHeight="1">
      <c r="A71" t="s" s="9">
        <v>172</v>
      </c>
      <c r="B71" t="s" s="10">
        <v>10</v>
      </c>
      <c r="C71" t="s" s="11">
        <v>11</v>
      </c>
      <c r="D71" s="12">
        <v>75</v>
      </c>
      <c r="E71" s="12">
        <v>0.5558999999999999</v>
      </c>
      <c r="F71" t="s" s="19">
        <v>173</v>
      </c>
      <c r="G71" s="14">
        <v>0.8428</v>
      </c>
      <c r="H71" s="14">
        <v>0.9159</v>
      </c>
      <c r="I71" s="14">
        <v>0.2125</v>
      </c>
      <c r="J71" s="14">
        <v>0.509</v>
      </c>
      <c r="K71" s="15"/>
      <c r="L71" s="13"/>
    </row>
    <row r="72" ht="140.05" customHeight="1">
      <c r="A72" t="s" s="9">
        <v>174</v>
      </c>
      <c r="B72" t="s" s="10">
        <v>10</v>
      </c>
      <c r="C72" t="s" s="11">
        <v>11</v>
      </c>
      <c r="D72" s="12">
        <v>54</v>
      </c>
      <c r="E72" s="12">
        <v>0.5842000000000001</v>
      </c>
      <c r="F72" t="s" s="11">
        <v>175</v>
      </c>
      <c r="G72" s="12">
        <v>0.8197</v>
      </c>
      <c r="H72" s="12">
        <v>0.9042</v>
      </c>
      <c r="I72" s="12">
        <v>0.0305</v>
      </c>
      <c r="J72" s="12">
        <v>0.4563</v>
      </c>
      <c r="K72" s="13"/>
      <c r="L72" s="13"/>
    </row>
    <row r="73" ht="20.05" customHeight="1">
      <c r="A73" t="s" s="9">
        <v>176</v>
      </c>
      <c r="B73" s="17"/>
      <c r="C73" s="13"/>
      <c r="D73" s="13"/>
      <c r="E73" s="13"/>
      <c r="F73" s="13"/>
      <c r="G73" s="13"/>
      <c r="H73" s="13"/>
      <c r="I73" s="13"/>
      <c r="J73" s="13"/>
      <c r="K73" s="13"/>
      <c r="L73" s="13"/>
    </row>
    <row r="74" ht="128.05" customHeight="1">
      <c r="A74" t="s" s="9">
        <v>177</v>
      </c>
      <c r="B74" t="s" s="10">
        <v>10</v>
      </c>
      <c r="C74" t="s" s="11">
        <v>11</v>
      </c>
      <c r="D74" s="12">
        <v>33</v>
      </c>
      <c r="E74" s="12">
        <v>0.7929</v>
      </c>
      <c r="F74" s="12">
        <v>0.9534</v>
      </c>
      <c r="G74" s="12">
        <v>0.8415</v>
      </c>
      <c r="H74" s="12">
        <v>0.9152</v>
      </c>
      <c r="I74" s="12">
        <v>0.2037</v>
      </c>
      <c r="J74" s="12">
        <v>0.5003</v>
      </c>
      <c r="K74" s="13"/>
      <c r="L74" s="13"/>
    </row>
    <row r="75" ht="128.05" customHeight="1">
      <c r="A75" t="s" s="9">
        <v>178</v>
      </c>
      <c r="B75" t="s" s="10">
        <v>10</v>
      </c>
      <c r="C75" t="s" s="11">
        <v>11</v>
      </c>
      <c r="D75" s="12">
        <v>70</v>
      </c>
      <c r="E75" s="12">
        <v>1.0307</v>
      </c>
      <c r="F75" t="s" s="11">
        <v>179</v>
      </c>
      <c r="G75" s="12">
        <v>0.8398</v>
      </c>
      <c r="H75" s="12">
        <v>0.9144</v>
      </c>
      <c r="I75" s="12">
        <v>0.1886</v>
      </c>
      <c r="J75" s="12">
        <v>0.497</v>
      </c>
      <c r="K75" s="13"/>
      <c r="L75" s="13"/>
    </row>
    <row r="76" ht="128.05" customHeight="1">
      <c r="A76" t="s" s="9">
        <v>180</v>
      </c>
      <c r="B76" t="s" s="10">
        <v>10</v>
      </c>
      <c r="C76" t="s" s="11">
        <v>11</v>
      </c>
      <c r="D76" s="12">
        <v>65</v>
      </c>
      <c r="E76" s="12">
        <v>0.8282</v>
      </c>
      <c r="F76" t="s" s="11">
        <v>181</v>
      </c>
      <c r="G76" s="14">
        <v>0.8437</v>
      </c>
      <c r="H76" s="14">
        <v>0.9165</v>
      </c>
      <c r="I76" s="14">
        <v>0.2186</v>
      </c>
      <c r="J76" s="14">
        <v>0.5095</v>
      </c>
      <c r="K76" s="14">
        <v>0.5349</v>
      </c>
      <c r="L76" s="13"/>
    </row>
    <row r="77" ht="140.05" customHeight="1">
      <c r="A77" t="s" s="9">
        <v>182</v>
      </c>
      <c r="B77" t="s" s="10">
        <v>10</v>
      </c>
      <c r="C77" t="s" s="11">
        <v>11</v>
      </c>
      <c r="D77" s="12">
        <v>73</v>
      </c>
      <c r="E77" s="12">
        <v>0.618</v>
      </c>
      <c r="F77" t="s" s="11">
        <v>183</v>
      </c>
      <c r="G77" s="12">
        <v>0.8413</v>
      </c>
      <c r="H77" s="12">
        <v>0.915</v>
      </c>
      <c r="I77" s="12">
        <v>0.1972</v>
      </c>
      <c r="J77" s="12">
        <v>0.5049</v>
      </c>
      <c r="K77" s="13"/>
      <c r="L77" s="13"/>
    </row>
    <row r="78" ht="140.05" customHeight="1">
      <c r="A78" t="s" s="9">
        <v>184</v>
      </c>
      <c r="B78" t="s" s="10">
        <v>10</v>
      </c>
      <c r="C78" t="s" s="11">
        <v>11</v>
      </c>
      <c r="D78" s="12">
        <v>35</v>
      </c>
      <c r="E78" s="12">
        <v>0.8794999999999999</v>
      </c>
      <c r="F78" t="s" s="11">
        <v>185</v>
      </c>
      <c r="G78" s="12">
        <v>0.8401999999999999</v>
      </c>
      <c r="H78" s="12">
        <v>0.9145</v>
      </c>
      <c r="I78" s="12">
        <v>0.1896</v>
      </c>
      <c r="J78" s="12">
        <v>0.5024</v>
      </c>
      <c r="K78" s="13"/>
      <c r="L78" s="13"/>
    </row>
    <row r="79" ht="32.05" customHeight="1">
      <c r="A79" t="s" s="9">
        <v>186</v>
      </c>
      <c r="B79" s="17"/>
      <c r="C79" s="13"/>
      <c r="D79" s="13"/>
      <c r="E79" s="13"/>
      <c r="F79" s="13"/>
      <c r="G79" s="13"/>
      <c r="H79" s="13"/>
      <c r="I79" s="13"/>
      <c r="J79" s="13"/>
      <c r="K79" s="13"/>
      <c r="L79" s="13"/>
    </row>
    <row r="80" ht="140.05" customHeight="1">
      <c r="A80" t="s" s="9">
        <v>187</v>
      </c>
      <c r="B80" t="s" s="10">
        <v>10</v>
      </c>
      <c r="C80" t="s" s="11">
        <v>11</v>
      </c>
      <c r="D80" s="12">
        <v>25</v>
      </c>
      <c r="E80" s="12">
        <v>0.6715</v>
      </c>
      <c r="F80" t="s" s="11">
        <v>188</v>
      </c>
      <c r="G80" s="12">
        <v>0.8409</v>
      </c>
      <c r="H80" s="12">
        <v>0.915</v>
      </c>
      <c r="I80" s="12">
        <v>0.2067</v>
      </c>
      <c r="J80" s="12">
        <v>0.5047</v>
      </c>
      <c r="K80" s="13"/>
      <c r="L80" s="13"/>
    </row>
    <row r="81" ht="140.05" customHeight="1">
      <c r="A81" t="s" s="9">
        <v>189</v>
      </c>
      <c r="B81" t="s" s="10">
        <v>10</v>
      </c>
      <c r="C81" t="s" s="11">
        <v>11</v>
      </c>
      <c r="D81" s="12">
        <v>91</v>
      </c>
      <c r="E81" s="12">
        <v>0.5576</v>
      </c>
      <c r="F81" t="s" s="11">
        <v>190</v>
      </c>
      <c r="G81" s="12">
        <v>0.8415</v>
      </c>
      <c r="H81" s="12">
        <v>0.9151</v>
      </c>
      <c r="I81" s="12">
        <v>0.2006</v>
      </c>
      <c r="J81" s="12">
        <v>0.5049</v>
      </c>
      <c r="K81" s="13"/>
      <c r="L81" s="13"/>
    </row>
    <row r="82" ht="140.05" customHeight="1">
      <c r="A82" t="s" s="9">
        <v>191</v>
      </c>
      <c r="B82" t="s" s="10">
        <v>10</v>
      </c>
      <c r="C82" t="s" s="11">
        <v>11</v>
      </c>
      <c r="D82" s="12">
        <v>45</v>
      </c>
      <c r="E82" s="12">
        <v>0.5959</v>
      </c>
      <c r="F82" t="s" s="11">
        <v>192</v>
      </c>
      <c r="G82" s="12">
        <v>0.8433</v>
      </c>
      <c r="H82" s="12">
        <v>0.9162</v>
      </c>
      <c r="I82" s="12">
        <v>0.2161</v>
      </c>
      <c r="J82" s="12">
        <v>0.5107</v>
      </c>
      <c r="K82" s="13"/>
      <c r="L82" s="13"/>
    </row>
    <row r="83" ht="140.05" customHeight="1">
      <c r="A83" t="s" s="9">
        <v>193</v>
      </c>
      <c r="B83" t="s" s="10">
        <v>10</v>
      </c>
      <c r="C83" t="s" s="11">
        <v>11</v>
      </c>
      <c r="D83" s="12">
        <v>25</v>
      </c>
      <c r="E83" s="12">
        <v>0.695</v>
      </c>
      <c r="F83" t="s" s="11">
        <v>194</v>
      </c>
      <c r="G83" s="12">
        <v>0.8396</v>
      </c>
      <c r="H83" s="12">
        <v>0.9141</v>
      </c>
      <c r="I83" s="12">
        <v>0.1888</v>
      </c>
      <c r="J83" s="12">
        <v>0.501</v>
      </c>
      <c r="K83" s="13"/>
      <c r="L83" s="13"/>
    </row>
    <row r="84" ht="140.05" customHeight="1">
      <c r="A84" t="s" s="9">
        <v>195</v>
      </c>
      <c r="B84" t="s" s="10">
        <v>10</v>
      </c>
      <c r="C84" t="s" s="11">
        <v>11</v>
      </c>
      <c r="D84" s="12">
        <v>41</v>
      </c>
      <c r="E84" s="12">
        <v>0.6098</v>
      </c>
      <c r="F84" t="s" s="11">
        <v>196</v>
      </c>
      <c r="G84" s="12">
        <v>0.8404</v>
      </c>
      <c r="H84" s="12">
        <v>0.9145</v>
      </c>
      <c r="I84" s="12">
        <v>0.1918</v>
      </c>
      <c r="J84" s="12">
        <v>0.4992</v>
      </c>
      <c r="K84" s="13"/>
      <c r="L84" s="13"/>
    </row>
    <row r="85" ht="140.05" customHeight="1">
      <c r="A85" t="s" s="9">
        <v>197</v>
      </c>
      <c r="B85" t="s" s="10">
        <v>10</v>
      </c>
      <c r="C85" t="s" s="11">
        <v>11</v>
      </c>
      <c r="D85" s="12">
        <v>44</v>
      </c>
      <c r="E85" s="12">
        <v>0.6024</v>
      </c>
      <c r="F85" t="s" s="11">
        <v>198</v>
      </c>
      <c r="G85" s="12">
        <v>0.8332000000000001</v>
      </c>
      <c r="H85" s="12">
        <v>0.9108000000000001</v>
      </c>
      <c r="I85" s="12">
        <v>0.136</v>
      </c>
      <c r="J85" s="12">
        <v>0.4838</v>
      </c>
      <c r="K85" s="13"/>
      <c r="L85" t="s" s="11">
        <v>199</v>
      </c>
    </row>
    <row r="86" ht="20.05" customHeight="1">
      <c r="A86" t="s" s="9">
        <v>200</v>
      </c>
      <c r="B86" s="17"/>
      <c r="C86" s="13"/>
      <c r="D86" s="13"/>
      <c r="E86" s="13"/>
      <c r="F86" s="13"/>
      <c r="G86" s="13"/>
      <c r="H86" s="13"/>
      <c r="I86" s="13"/>
      <c r="J86" s="13"/>
      <c r="K86" s="13"/>
      <c r="L86" s="13"/>
    </row>
    <row r="87" ht="128.05" customHeight="1">
      <c r="A87" t="s" s="9">
        <v>201</v>
      </c>
      <c r="B87" t="s" s="10">
        <v>10</v>
      </c>
      <c r="C87" t="s" s="11">
        <v>11</v>
      </c>
      <c r="D87" s="12">
        <v>35</v>
      </c>
      <c r="E87" s="12">
        <v>0.9044</v>
      </c>
      <c r="F87" t="s" s="11">
        <v>202</v>
      </c>
      <c r="G87" s="12">
        <v>0.8411999999999999</v>
      </c>
      <c r="H87" s="12">
        <v>0.9151</v>
      </c>
      <c r="I87" s="12">
        <v>0.207</v>
      </c>
      <c r="J87" s="12">
        <v>0.4962</v>
      </c>
      <c r="K87" s="13"/>
      <c r="L87" s="13"/>
    </row>
    <row r="88" ht="20.05" customHeight="1">
      <c r="A88" t="s" s="9">
        <v>203</v>
      </c>
      <c r="B88" s="17"/>
      <c r="C88" s="13"/>
      <c r="D88" s="13"/>
      <c r="E88" s="13"/>
      <c r="F88" s="13"/>
      <c r="G88" s="13"/>
      <c r="H88" s="13"/>
      <c r="I88" s="13"/>
      <c r="J88" s="13"/>
      <c r="K88" s="13"/>
      <c r="L88" s="13"/>
    </row>
    <row r="89" ht="140.05" customHeight="1">
      <c r="A89" t="s" s="9">
        <v>204</v>
      </c>
      <c r="B89" t="s" s="10">
        <v>10</v>
      </c>
      <c r="C89" t="s" s="11">
        <v>11</v>
      </c>
      <c r="D89" s="12">
        <v>33</v>
      </c>
      <c r="E89" s="12">
        <v>0.6308</v>
      </c>
      <c r="F89" t="s" s="11">
        <v>205</v>
      </c>
      <c r="G89" s="12">
        <v>0.8404</v>
      </c>
      <c r="H89" s="12">
        <v>0.9146</v>
      </c>
      <c r="I89" s="12">
        <v>0.1945</v>
      </c>
      <c r="J89" s="12">
        <v>0.4994</v>
      </c>
      <c r="K89" s="13"/>
      <c r="L89" s="13"/>
    </row>
    <row r="90" ht="20.05" customHeight="1">
      <c r="A90" t="s" s="9">
        <v>206</v>
      </c>
      <c r="B90" s="17"/>
      <c r="C90" s="13"/>
      <c r="D90" s="13"/>
      <c r="E90" s="13"/>
      <c r="F90" s="13"/>
      <c r="G90" s="13"/>
      <c r="H90" s="13"/>
      <c r="I90" s="13"/>
      <c r="J90" s="13"/>
      <c r="K90" s="13"/>
      <c r="L90" s="13"/>
    </row>
    <row r="91" ht="140.05" customHeight="1">
      <c r="A91" t="s" s="9">
        <v>207</v>
      </c>
      <c r="B91" t="s" s="10">
        <v>10</v>
      </c>
      <c r="C91" t="s" s="11">
        <v>11</v>
      </c>
      <c r="D91" s="12">
        <v>41</v>
      </c>
      <c r="E91" s="12">
        <v>0.8871</v>
      </c>
      <c r="F91" t="s" s="11">
        <v>208</v>
      </c>
      <c r="G91" s="12">
        <v>0.8401999999999999</v>
      </c>
      <c r="H91" s="12">
        <v>0.9147</v>
      </c>
      <c r="I91" s="12">
        <v>0.2006</v>
      </c>
      <c r="J91" s="12">
        <v>0.4966</v>
      </c>
      <c r="K91" s="13"/>
      <c r="L91" s="13"/>
    </row>
    <row r="92" ht="32.05" customHeight="1">
      <c r="A92" t="s" s="9">
        <v>209</v>
      </c>
      <c r="B92" s="17"/>
      <c r="C92" s="13"/>
      <c r="D92" s="13"/>
      <c r="E92" s="13"/>
      <c r="F92" s="13"/>
      <c r="G92" s="13"/>
      <c r="H92" s="13"/>
      <c r="I92" s="13"/>
      <c r="J92" s="13"/>
      <c r="K92" s="13"/>
      <c r="L92" s="13"/>
    </row>
    <row r="93" ht="140.05" customHeight="1">
      <c r="A93" t="s" s="9">
        <v>210</v>
      </c>
      <c r="B93" t="s" s="10">
        <v>10</v>
      </c>
      <c r="C93" t="s" s="11">
        <v>11</v>
      </c>
      <c r="D93" s="12">
        <v>52</v>
      </c>
      <c r="E93" s="12">
        <v>0.5866</v>
      </c>
      <c r="F93" t="s" s="11">
        <v>211</v>
      </c>
      <c r="G93" s="12">
        <v>0.8409</v>
      </c>
      <c r="H93" s="12">
        <v>0.9149</v>
      </c>
      <c r="I93" s="12">
        <v>0.1998</v>
      </c>
      <c r="J93" s="12">
        <v>0.5016</v>
      </c>
      <c r="K93" s="13"/>
      <c r="L93" s="13"/>
    </row>
    <row r="94" ht="140.05" customHeight="1">
      <c r="A94" t="s" s="9">
        <v>212</v>
      </c>
      <c r="B94" t="s" s="10">
        <v>10</v>
      </c>
      <c r="C94" t="s" s="11">
        <v>11</v>
      </c>
      <c r="D94" s="12">
        <v>44</v>
      </c>
      <c r="E94" s="12">
        <v>0.5895</v>
      </c>
      <c r="F94" t="s" s="11">
        <v>213</v>
      </c>
      <c r="G94" s="12">
        <v>0.8411</v>
      </c>
      <c r="H94" s="12">
        <v>0.915</v>
      </c>
      <c r="I94" s="12">
        <v>0.1953</v>
      </c>
      <c r="J94" s="12">
        <v>0.5057</v>
      </c>
      <c r="K94" s="13"/>
      <c r="L94" s="13"/>
    </row>
    <row r="95" ht="128.05" customHeight="1">
      <c r="A95" t="s" s="9">
        <v>214</v>
      </c>
      <c r="B95" t="s" s="10">
        <v>10</v>
      </c>
      <c r="C95" t="s" s="11">
        <v>11</v>
      </c>
      <c r="D95" s="12">
        <v>67</v>
      </c>
      <c r="E95" s="12">
        <v>0.589</v>
      </c>
      <c r="F95" t="s" s="11">
        <v>215</v>
      </c>
      <c r="G95" s="12">
        <v>0.84</v>
      </c>
      <c r="H95" s="12">
        <v>0.9147</v>
      </c>
      <c r="I95" s="12">
        <v>0.1938</v>
      </c>
      <c r="J95" s="12">
        <v>0.4973</v>
      </c>
      <c r="K95" s="13"/>
      <c r="L95" s="13"/>
    </row>
    <row r="96" ht="32.05" customHeight="1">
      <c r="A96" t="s" s="9">
        <v>216</v>
      </c>
      <c r="B96" s="17"/>
      <c r="C96" s="13"/>
      <c r="D96" s="13"/>
      <c r="E96" s="13"/>
      <c r="F96" s="13"/>
      <c r="G96" s="13"/>
      <c r="H96" s="13"/>
      <c r="I96" s="13"/>
      <c r="J96" s="13"/>
      <c r="K96" s="13"/>
      <c r="L96" s="13"/>
    </row>
    <row r="97" ht="140.05" customHeight="1">
      <c r="A97" t="s" s="9">
        <v>217</v>
      </c>
      <c r="B97" t="s" s="10">
        <v>10</v>
      </c>
      <c r="C97" t="s" s="11">
        <v>11</v>
      </c>
      <c r="D97" s="12">
        <v>94</v>
      </c>
      <c r="E97" s="12">
        <v>0.5724</v>
      </c>
      <c r="F97" t="s" s="11">
        <v>218</v>
      </c>
      <c r="G97" s="12">
        <v>0.8363</v>
      </c>
      <c r="H97" s="12">
        <v>0.9127999999999999</v>
      </c>
      <c r="I97" s="12">
        <v>0.1637</v>
      </c>
      <c r="J97" s="12">
        <v>0.4912</v>
      </c>
      <c r="K97" s="13"/>
      <c r="L97" s="13"/>
    </row>
    <row r="98" ht="140.05" customHeight="1">
      <c r="A98" t="s" s="9">
        <v>219</v>
      </c>
      <c r="B98" t="s" s="10">
        <v>10</v>
      </c>
      <c r="C98" t="s" s="11">
        <v>11</v>
      </c>
      <c r="D98" s="12">
        <v>35</v>
      </c>
      <c r="E98" s="12">
        <v>0.5989</v>
      </c>
      <c r="F98" t="s" s="11">
        <v>220</v>
      </c>
      <c r="G98" s="12">
        <v>0.8399</v>
      </c>
      <c r="H98" s="12">
        <v>0.9144</v>
      </c>
      <c r="I98" s="12">
        <v>0.1891</v>
      </c>
      <c r="J98" s="12">
        <v>0.5032</v>
      </c>
      <c r="K98" s="13"/>
      <c r="L98" s="13"/>
    </row>
    <row r="99" ht="128.05" customHeight="1">
      <c r="A99" t="s" s="9">
        <v>221</v>
      </c>
      <c r="B99" t="s" s="10">
        <v>10</v>
      </c>
      <c r="C99" t="s" s="11">
        <v>11</v>
      </c>
      <c r="D99" s="12">
        <v>25</v>
      </c>
      <c r="E99" s="12">
        <v>0.6513</v>
      </c>
      <c r="F99" t="s" s="11">
        <v>222</v>
      </c>
      <c r="G99" s="12">
        <v>0.8386</v>
      </c>
      <c r="H99" s="12">
        <v>0.9137</v>
      </c>
      <c r="I99" s="12">
        <v>0.1769</v>
      </c>
      <c r="J99" s="12">
        <v>0.5008</v>
      </c>
      <c r="K99" s="13"/>
      <c r="L99" s="13"/>
    </row>
    <row r="100" ht="128.05" customHeight="1">
      <c r="A100" t="s" s="9">
        <v>223</v>
      </c>
      <c r="B100" t="s" s="10">
        <v>10</v>
      </c>
      <c r="C100" t="s" s="11">
        <v>11</v>
      </c>
      <c r="D100" s="12">
        <v>55</v>
      </c>
      <c r="E100" s="12">
        <v>0.5681</v>
      </c>
      <c r="F100" t="s" s="11">
        <v>224</v>
      </c>
      <c r="G100" s="12">
        <v>0.8411</v>
      </c>
      <c r="H100" s="12">
        <v>0.915</v>
      </c>
      <c r="I100" s="12">
        <v>0.1935</v>
      </c>
      <c r="J100" s="12">
        <v>0.5077</v>
      </c>
      <c r="K100" s="13"/>
      <c r="L100" s="13"/>
    </row>
    <row r="101" ht="128.05" customHeight="1">
      <c r="A101" t="s" s="9">
        <v>225</v>
      </c>
      <c r="B101" t="s" s="10">
        <v>10</v>
      </c>
      <c r="C101" t="s" s="11">
        <v>11</v>
      </c>
      <c r="D101" s="12">
        <v>54</v>
      </c>
      <c r="E101" s="12">
        <v>0.5697</v>
      </c>
      <c r="F101" t="s" s="11">
        <v>226</v>
      </c>
      <c r="G101" s="12">
        <v>0.8411</v>
      </c>
      <c r="H101" s="12">
        <v>0.9149</v>
      </c>
      <c r="I101" s="12">
        <v>0.1933</v>
      </c>
      <c r="J101" s="12">
        <v>0.5043</v>
      </c>
      <c r="K101" s="13"/>
      <c r="L101" s="13"/>
    </row>
    <row r="102" ht="140.05" customHeight="1">
      <c r="A102" t="s" s="9">
        <v>227</v>
      </c>
      <c r="B102" t="s" s="10">
        <v>10</v>
      </c>
      <c r="C102" t="s" s="11">
        <v>11</v>
      </c>
      <c r="D102" s="12">
        <v>44</v>
      </c>
      <c r="E102" s="12">
        <v>0.5854</v>
      </c>
      <c r="F102" t="s" s="11">
        <v>228</v>
      </c>
      <c r="G102" s="12">
        <v>0.8421</v>
      </c>
      <c r="H102" s="12">
        <v>0.9154</v>
      </c>
      <c r="I102" s="12">
        <v>0.2021</v>
      </c>
      <c r="J102" s="12">
        <v>0.5065</v>
      </c>
      <c r="K102" s="13"/>
      <c r="L102" s="13"/>
    </row>
    <row r="103" ht="20.05" customHeight="1">
      <c r="A103" s="16"/>
      <c r="B103" s="17"/>
      <c r="C103" s="13"/>
      <c r="D103" s="13"/>
      <c r="E103" s="13"/>
      <c r="F103" s="13"/>
      <c r="G103" s="13"/>
      <c r="H103" s="13"/>
      <c r="I103" s="13"/>
      <c r="J103" s="13"/>
      <c r="K103" s="13"/>
      <c r="L103" s="13"/>
    </row>
    <row r="104" ht="20.05" customHeight="1">
      <c r="A104" s="16"/>
      <c r="B104" s="17"/>
      <c r="C104" s="13"/>
      <c r="D104" s="13"/>
      <c r="E104" s="13"/>
      <c r="F104" s="13"/>
      <c r="G104" s="13"/>
      <c r="H104" s="13"/>
      <c r="I104" s="13"/>
      <c r="J104" s="13"/>
      <c r="K104" s="13"/>
      <c r="L104" s="13"/>
    </row>
    <row r="105" ht="20.05" customHeight="1">
      <c r="A105" s="16"/>
      <c r="B105" s="17"/>
      <c r="C105" s="13"/>
      <c r="D105" s="13"/>
      <c r="E105" s="13"/>
      <c r="F105" s="13"/>
      <c r="G105" s="13"/>
      <c r="H105" s="13"/>
      <c r="I105" s="13"/>
      <c r="J105" s="13"/>
      <c r="K105" s="13"/>
      <c r="L105" s="13"/>
    </row>
    <row r="106" ht="20.05" customHeight="1">
      <c r="A106" s="16"/>
      <c r="B106" s="17"/>
      <c r="C106" s="13"/>
      <c r="D106" s="13"/>
      <c r="E106" s="13"/>
      <c r="F106" s="13"/>
      <c r="G106" s="13"/>
      <c r="H106" s="13"/>
      <c r="I106" s="13"/>
      <c r="J106" s="13"/>
      <c r="K106" s="13"/>
      <c r="L106" s="13"/>
    </row>
  </sheetData>
  <mergeCells count="1">
    <mergeCell ref="A1:L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2:N53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4" width="16.3516" style="20" customWidth="1"/>
    <col min="15" max="16384" width="16.3516" style="20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32.25" customHeight="1">
      <c r="A2" t="s" s="3">
        <v>1</v>
      </c>
      <c r="B2" t="s" s="3">
        <v>229</v>
      </c>
      <c r="C2" t="s" s="3">
        <v>2</v>
      </c>
      <c r="D2" t="s" s="3">
        <v>230</v>
      </c>
      <c r="E2" t="s" s="3">
        <v>3</v>
      </c>
      <c r="F2" t="s" s="3">
        <v>4</v>
      </c>
      <c r="G2" t="s" s="3">
        <v>5</v>
      </c>
      <c r="H2" t="s" s="3">
        <v>6</v>
      </c>
      <c r="I2" t="s" s="3">
        <v>231</v>
      </c>
      <c r="J2" t="s" s="3">
        <v>232</v>
      </c>
      <c r="K2" t="s" s="3">
        <v>233</v>
      </c>
      <c r="L2" t="s" s="3">
        <v>234</v>
      </c>
      <c r="M2" t="s" s="3">
        <v>235</v>
      </c>
      <c r="N2" t="s" s="3">
        <v>8</v>
      </c>
    </row>
    <row r="3" ht="176.25" customHeight="1">
      <c r="A3" t="s" s="4">
        <v>132</v>
      </c>
      <c r="B3" t="s" s="21">
        <v>236</v>
      </c>
      <c r="C3" t="s" s="6">
        <v>10</v>
      </c>
      <c r="D3" t="s" s="6">
        <v>237</v>
      </c>
      <c r="E3" t="s" s="6">
        <v>11</v>
      </c>
      <c r="F3" s="7">
        <v>54</v>
      </c>
      <c r="G3" s="7">
        <v>0.5804</v>
      </c>
      <c r="H3" t="s" s="6">
        <v>133</v>
      </c>
      <c r="I3" s="22">
        <v>0.8423</v>
      </c>
      <c r="J3" s="22">
        <v>0.9157</v>
      </c>
      <c r="K3" s="22">
        <v>0.2124</v>
      </c>
      <c r="L3" s="7">
        <v>0.5061</v>
      </c>
      <c r="M3" s="23"/>
      <c r="N3" s="23"/>
    </row>
    <row r="4" ht="32.05" customHeight="1">
      <c r="A4" t="s" s="9">
        <v>238</v>
      </c>
      <c r="B4" s="17"/>
      <c r="C4" t="s" s="11">
        <v>239</v>
      </c>
      <c r="D4" t="s" s="11">
        <v>237</v>
      </c>
      <c r="E4" t="s" s="11">
        <v>240</v>
      </c>
      <c r="F4" s="13"/>
      <c r="G4" s="13"/>
      <c r="H4" s="12">
        <v>1.5074</v>
      </c>
      <c r="I4" s="12">
        <v>0.763</v>
      </c>
      <c r="J4" s="12">
        <v>0.8836000000000001</v>
      </c>
      <c r="K4" s="13"/>
      <c r="L4" s="13"/>
      <c r="M4" s="13"/>
      <c r="N4" s="13"/>
    </row>
    <row r="5" ht="176.05" customHeight="1">
      <c r="A5" t="s" s="9">
        <v>132</v>
      </c>
      <c r="B5" s="24">
        <v>18264</v>
      </c>
      <c r="C5" t="s" s="11">
        <v>239</v>
      </c>
      <c r="D5" t="s" s="11">
        <v>237</v>
      </c>
      <c r="E5" t="s" s="11">
        <v>240</v>
      </c>
      <c r="F5" s="12">
        <v>48</v>
      </c>
      <c r="G5" s="12">
        <v>0.6303</v>
      </c>
      <c r="H5" t="s" s="11">
        <v>241</v>
      </c>
      <c r="I5" s="12">
        <v>0.8507</v>
      </c>
      <c r="J5" s="12">
        <v>0.9217</v>
      </c>
      <c r="K5" s="12">
        <v>0.319</v>
      </c>
      <c r="L5" s="12">
        <v>0.5797</v>
      </c>
      <c r="M5" s="13"/>
      <c r="N5" t="s" s="11">
        <v>242</v>
      </c>
    </row>
    <row r="6" ht="32.05" customHeight="1">
      <c r="A6" s="16"/>
      <c r="B6" t="s" s="10">
        <v>243</v>
      </c>
      <c r="C6" t="s" s="11">
        <v>239</v>
      </c>
      <c r="D6" t="s" s="11">
        <v>237</v>
      </c>
      <c r="E6" t="s" s="11">
        <v>240</v>
      </c>
      <c r="F6" s="12">
        <v>90</v>
      </c>
      <c r="G6" s="12">
        <v>0.608</v>
      </c>
      <c r="H6" t="s" s="11">
        <v>244</v>
      </c>
      <c r="I6" s="12">
        <v>0.8516</v>
      </c>
      <c r="J6" s="12">
        <v>0.9221</v>
      </c>
      <c r="K6" s="12">
        <v>0.3188</v>
      </c>
      <c r="L6" s="12">
        <v>0.5834</v>
      </c>
      <c r="M6" s="13"/>
      <c r="N6" s="13"/>
    </row>
    <row r="7" ht="32.05" customHeight="1">
      <c r="A7" s="16"/>
      <c r="B7" s="24">
        <v>18264</v>
      </c>
      <c r="C7" t="s" s="11">
        <v>239</v>
      </c>
      <c r="D7" t="s" s="11">
        <v>245</v>
      </c>
      <c r="E7" t="s" s="11">
        <v>240</v>
      </c>
      <c r="F7" s="12">
        <v>48</v>
      </c>
      <c r="G7" s="13"/>
      <c r="H7" s="13"/>
      <c r="I7" s="13"/>
      <c r="J7" s="13"/>
      <c r="K7" s="13"/>
      <c r="L7" s="13"/>
      <c r="M7" s="13"/>
      <c r="N7" s="13"/>
    </row>
    <row r="8" ht="188.05" customHeight="1">
      <c r="A8" t="s" s="9">
        <v>246</v>
      </c>
      <c r="B8" s="24">
        <v>52232</v>
      </c>
      <c r="C8" t="s" s="11">
        <v>239</v>
      </c>
      <c r="D8" t="s" s="11">
        <v>237</v>
      </c>
      <c r="E8" t="s" s="11">
        <v>240</v>
      </c>
      <c r="F8" s="12">
        <v>35</v>
      </c>
      <c r="G8" t="s" s="11">
        <v>247</v>
      </c>
      <c r="H8" t="s" s="11">
        <v>248</v>
      </c>
      <c r="I8" s="12">
        <v>0.851</v>
      </c>
      <c r="J8" s="12">
        <v>0.9218</v>
      </c>
      <c r="K8" s="12">
        <v>0.3192</v>
      </c>
      <c r="L8" s="12">
        <v>0.5805</v>
      </c>
      <c r="M8" s="13"/>
      <c r="N8" t="s" s="11">
        <v>249</v>
      </c>
    </row>
    <row r="9" ht="32.05" customHeight="1">
      <c r="A9" s="16"/>
      <c r="B9" t="s" s="10">
        <v>250</v>
      </c>
      <c r="C9" t="s" s="11">
        <v>239</v>
      </c>
      <c r="D9" t="s" s="11">
        <v>237</v>
      </c>
      <c r="E9" t="s" s="11">
        <v>240</v>
      </c>
      <c r="F9" s="12">
        <v>67</v>
      </c>
      <c r="G9" s="12">
        <v>0.6076</v>
      </c>
      <c r="H9" t="s" s="11">
        <v>251</v>
      </c>
      <c r="I9" s="12">
        <v>0.8515</v>
      </c>
      <c r="J9" s="12">
        <v>0.9221</v>
      </c>
      <c r="K9" s="12">
        <v>0.3218</v>
      </c>
      <c r="L9" s="12">
        <v>0.5828</v>
      </c>
      <c r="M9" s="13"/>
      <c r="N9" s="13"/>
    </row>
    <row r="10" ht="32.05" customHeight="1">
      <c r="A10" s="16"/>
      <c r="B10" s="24">
        <v>52232</v>
      </c>
      <c r="C10" t="s" s="11">
        <v>239</v>
      </c>
      <c r="D10" t="s" s="11">
        <v>245</v>
      </c>
      <c r="E10" t="s" s="11">
        <v>240</v>
      </c>
      <c r="F10" s="12">
        <v>35</v>
      </c>
      <c r="G10" s="13"/>
      <c r="H10" t="s" s="11">
        <v>252</v>
      </c>
      <c r="I10" s="12">
        <v>0.8396</v>
      </c>
      <c r="J10" s="12">
        <v>0.9153</v>
      </c>
      <c r="K10" s="12">
        <v>0.3079</v>
      </c>
      <c r="L10" s="12">
        <v>0.573</v>
      </c>
      <c r="M10" s="13"/>
      <c r="N10" s="13"/>
    </row>
    <row r="11" ht="188.05" customHeight="1">
      <c r="A11" t="s" s="9">
        <v>253</v>
      </c>
      <c r="B11" s="24">
        <v>18264</v>
      </c>
      <c r="C11" t="s" s="11">
        <v>239</v>
      </c>
      <c r="D11" t="s" s="11">
        <v>237</v>
      </c>
      <c r="E11" t="s" s="11">
        <v>240</v>
      </c>
      <c r="F11" s="12">
        <v>50</v>
      </c>
      <c r="G11" s="12">
        <v>0.6175</v>
      </c>
      <c r="H11" t="s" s="11">
        <v>254</v>
      </c>
      <c r="I11" s="12">
        <v>0.8514</v>
      </c>
      <c r="J11" s="12">
        <v>0.9223</v>
      </c>
      <c r="K11" s="12">
        <v>0.3169</v>
      </c>
      <c r="L11" s="12">
        <v>0.5809</v>
      </c>
      <c r="M11" s="13"/>
      <c r="N11" s="13"/>
    </row>
    <row r="12" ht="32.05" customHeight="1">
      <c r="A12" s="16"/>
      <c r="B12" s="25">
        <v>45859.700474537036</v>
      </c>
      <c r="C12" t="s" s="11">
        <v>239</v>
      </c>
      <c r="D12" t="s" s="11">
        <v>245</v>
      </c>
      <c r="E12" t="s" s="11">
        <v>240</v>
      </c>
      <c r="F12" s="12">
        <v>27</v>
      </c>
      <c r="G12" t="s" s="11">
        <v>247</v>
      </c>
      <c r="H12" t="s" s="11">
        <v>255</v>
      </c>
      <c r="I12" s="12">
        <v>0.8414</v>
      </c>
      <c r="J12" s="12">
        <v>0.9162</v>
      </c>
      <c r="K12" s="12">
        <v>0.3188</v>
      </c>
      <c r="L12" s="12">
        <v>0.5763</v>
      </c>
      <c r="M12" s="13"/>
      <c r="N12" s="13"/>
    </row>
    <row r="13" ht="32.05" customHeight="1">
      <c r="A13" s="16"/>
      <c r="B13" t="s" s="10">
        <v>243</v>
      </c>
      <c r="C13" t="s" s="11">
        <v>239</v>
      </c>
      <c r="D13" t="s" s="11">
        <v>237</v>
      </c>
      <c r="E13" t="s" s="11">
        <v>240</v>
      </c>
      <c r="F13" s="12">
        <v>90</v>
      </c>
      <c r="G13" s="12">
        <v>0.5995</v>
      </c>
      <c r="H13" t="s" s="11">
        <v>256</v>
      </c>
      <c r="I13" s="12">
        <v>0.8518</v>
      </c>
      <c r="J13" s="12">
        <v>0.9223</v>
      </c>
      <c r="K13" s="12">
        <v>0.3182</v>
      </c>
      <c r="L13" s="12">
        <v>0.5833</v>
      </c>
      <c r="M13" s="13"/>
      <c r="N13" s="13"/>
    </row>
    <row r="14" ht="200.05" customHeight="1">
      <c r="A14" t="s" s="9">
        <v>257</v>
      </c>
      <c r="B14" s="24">
        <v>18264</v>
      </c>
      <c r="C14" t="s" s="11">
        <v>239</v>
      </c>
      <c r="D14" t="s" s="11">
        <v>237</v>
      </c>
      <c r="E14" t="s" s="11">
        <v>240</v>
      </c>
      <c r="F14" s="12">
        <v>49</v>
      </c>
      <c r="G14" s="12">
        <v>0.621</v>
      </c>
      <c r="H14" t="s" s="11">
        <v>258</v>
      </c>
      <c r="I14" s="12">
        <v>0.8512999999999999</v>
      </c>
      <c r="J14" s="12">
        <v>0.9221</v>
      </c>
      <c r="K14" s="12">
        <v>0.3175</v>
      </c>
      <c r="L14" s="12">
        <v>0.5823</v>
      </c>
      <c r="M14" s="13"/>
      <c r="N14" s="13"/>
    </row>
    <row r="15" ht="32.05" customHeight="1">
      <c r="A15" s="16"/>
      <c r="B15" s="26">
        <v>45859.352916666663</v>
      </c>
      <c r="C15" t="s" s="11">
        <v>239</v>
      </c>
      <c r="D15" t="s" s="11">
        <v>245</v>
      </c>
      <c r="E15" t="s" s="11">
        <v>240</v>
      </c>
      <c r="F15" s="12">
        <v>22</v>
      </c>
      <c r="G15" t="s" s="11">
        <v>247</v>
      </c>
      <c r="H15" t="s" s="11">
        <v>259</v>
      </c>
      <c r="I15" s="12">
        <v>0.8418</v>
      </c>
      <c r="J15" s="12">
        <v>0.9161</v>
      </c>
      <c r="K15" s="12">
        <v>0.3202</v>
      </c>
      <c r="L15" s="12">
        <v>0.5762</v>
      </c>
      <c r="M15" s="13"/>
      <c r="N15" s="13"/>
    </row>
    <row r="16" ht="32.05" customHeight="1">
      <c r="A16" s="16"/>
      <c r="B16" t="s" s="10">
        <v>243</v>
      </c>
      <c r="C16" t="s" s="11">
        <v>239</v>
      </c>
      <c r="D16" t="s" s="11">
        <v>237</v>
      </c>
      <c r="E16" t="s" s="11">
        <v>240</v>
      </c>
      <c r="F16" s="12">
        <v>70</v>
      </c>
      <c r="G16" s="12">
        <v>0.6084000000000001</v>
      </c>
      <c r="H16" t="s" s="11">
        <v>260</v>
      </c>
      <c r="I16" s="12">
        <v>0.8515</v>
      </c>
      <c r="J16" s="12">
        <v>0.9222</v>
      </c>
      <c r="K16" s="12">
        <v>0.3175</v>
      </c>
      <c r="L16" s="12">
        <v>0.5831</v>
      </c>
      <c r="M16" s="13"/>
      <c r="N16" s="13"/>
    </row>
    <row r="17" ht="200.05" customHeight="1">
      <c r="A17" t="s" s="27">
        <v>261</v>
      </c>
      <c r="B17" s="24">
        <v>18264</v>
      </c>
      <c r="C17" t="s" s="11">
        <v>239</v>
      </c>
      <c r="D17" t="s" s="11">
        <v>237</v>
      </c>
      <c r="E17" t="s" s="11">
        <v>240</v>
      </c>
      <c r="F17" s="12">
        <v>50</v>
      </c>
      <c r="G17" s="12">
        <v>0.6139</v>
      </c>
      <c r="H17" t="s" s="11">
        <v>262</v>
      </c>
      <c r="I17" s="12">
        <v>0.852</v>
      </c>
      <c r="J17" s="12">
        <v>0.9225</v>
      </c>
      <c r="K17" s="12">
        <v>0.3221</v>
      </c>
      <c r="L17" s="12">
        <v>0.5859</v>
      </c>
      <c r="M17" s="13"/>
      <c r="N17" s="13"/>
    </row>
    <row r="18" ht="32.05" customHeight="1">
      <c r="A18" s="16"/>
      <c r="B18" s="26">
        <v>45859.843379629630</v>
      </c>
      <c r="C18" t="s" s="11">
        <v>239</v>
      </c>
      <c r="D18" t="s" s="11">
        <v>245</v>
      </c>
      <c r="E18" t="s" s="11">
        <v>240</v>
      </c>
      <c r="F18" s="12">
        <v>29</v>
      </c>
      <c r="G18" t="s" s="11">
        <v>247</v>
      </c>
      <c r="H18" t="s" s="11">
        <v>263</v>
      </c>
      <c r="I18" s="12">
        <v>0.8428</v>
      </c>
      <c r="J18" s="12">
        <v>0.9167</v>
      </c>
      <c r="K18" s="12">
        <v>0.3211</v>
      </c>
      <c r="L18" s="12">
        <v>0.5807</v>
      </c>
      <c r="M18" s="13"/>
      <c r="N18" s="13"/>
    </row>
    <row r="19" ht="32.05" customHeight="1">
      <c r="A19" s="16"/>
      <c r="B19" t="s" s="10">
        <v>243</v>
      </c>
      <c r="C19" t="s" s="11">
        <v>239</v>
      </c>
      <c r="D19" t="s" s="11">
        <v>237</v>
      </c>
      <c r="E19" t="s" s="11">
        <v>240</v>
      </c>
      <c r="F19" s="12">
        <v>59</v>
      </c>
      <c r="G19" s="12">
        <v>0.6115</v>
      </c>
      <c r="H19" t="s" s="11">
        <v>264</v>
      </c>
      <c r="I19" s="12">
        <v>0.8528</v>
      </c>
      <c r="J19" s="12">
        <v>0.9229000000000001</v>
      </c>
      <c r="K19" s="12">
        <v>0.3276</v>
      </c>
      <c r="L19" s="12">
        <v>0.5876</v>
      </c>
      <c r="M19" s="13"/>
      <c r="N19" s="13"/>
    </row>
    <row r="20" ht="212.05" customHeight="1">
      <c r="A20" t="s" s="27">
        <v>265</v>
      </c>
      <c r="B20" s="24">
        <v>18264</v>
      </c>
      <c r="C20" t="s" s="11">
        <v>239</v>
      </c>
      <c r="D20" t="s" s="11">
        <v>237</v>
      </c>
      <c r="E20" t="s" s="11">
        <v>240</v>
      </c>
      <c r="F20" s="12">
        <v>32</v>
      </c>
      <c r="G20" s="12">
        <v>0.628</v>
      </c>
      <c r="H20" t="s" s="11">
        <v>266</v>
      </c>
      <c r="I20" s="12">
        <v>0.8516</v>
      </c>
      <c r="J20" s="12">
        <v>0.9221</v>
      </c>
      <c r="K20" s="12">
        <v>0.3237</v>
      </c>
      <c r="L20" s="12">
        <v>0.583</v>
      </c>
      <c r="M20" s="13"/>
      <c r="N20" t="s" s="11">
        <v>267</v>
      </c>
    </row>
    <row r="21" ht="212.05" customHeight="1">
      <c r="A21" t="s" s="27">
        <v>265</v>
      </c>
      <c r="B21" t="s" s="10">
        <v>268</v>
      </c>
      <c r="C21" t="s" s="11">
        <v>239</v>
      </c>
      <c r="D21" t="s" s="11">
        <v>237</v>
      </c>
      <c r="E21" t="s" s="11">
        <v>240</v>
      </c>
      <c r="F21" s="12">
        <v>32</v>
      </c>
      <c r="G21" t="s" s="11">
        <v>269</v>
      </c>
      <c r="H21" s="13"/>
      <c r="I21" s="13"/>
      <c r="J21" s="13"/>
      <c r="K21" s="13"/>
      <c r="L21" s="13"/>
      <c r="M21" s="13"/>
      <c r="N21" s="13"/>
    </row>
    <row r="22" ht="212.05" customHeight="1">
      <c r="A22" t="s" s="9">
        <v>270</v>
      </c>
      <c r="B22" s="24">
        <v>18264</v>
      </c>
      <c r="C22" t="s" s="11">
        <v>239</v>
      </c>
      <c r="D22" t="s" s="11">
        <v>237</v>
      </c>
      <c r="E22" t="s" s="11">
        <v>240</v>
      </c>
      <c r="F22" s="12">
        <v>49</v>
      </c>
      <c r="G22" s="12">
        <v>0.8912</v>
      </c>
      <c r="H22" t="s" s="11">
        <v>271</v>
      </c>
      <c r="I22" s="12">
        <v>0.8505</v>
      </c>
      <c r="J22" s="12">
        <v>0.9217</v>
      </c>
      <c r="K22" s="12">
        <v>0.3152</v>
      </c>
      <c r="L22" s="12">
        <v>0.5805</v>
      </c>
      <c r="M22" s="13"/>
      <c r="N22" s="13"/>
    </row>
    <row r="23" ht="200.05" customHeight="1">
      <c r="A23" t="s" s="9">
        <v>272</v>
      </c>
      <c r="B23" s="24">
        <v>18264</v>
      </c>
      <c r="C23" t="s" s="11">
        <v>239</v>
      </c>
      <c r="D23" t="s" s="11">
        <v>237</v>
      </c>
      <c r="E23" t="s" s="11">
        <v>240</v>
      </c>
      <c r="F23" s="12">
        <v>41</v>
      </c>
      <c r="G23" s="12">
        <v>0.6199</v>
      </c>
      <c r="H23" t="s" s="11">
        <v>273</v>
      </c>
      <c r="I23" s="12">
        <v>0.8504</v>
      </c>
      <c r="J23" s="12">
        <v>0.9214</v>
      </c>
      <c r="K23" s="12">
        <v>0.312</v>
      </c>
      <c r="L23" s="12">
        <v>0.5793</v>
      </c>
      <c r="M23" s="13"/>
      <c r="N23" s="13"/>
    </row>
    <row r="24" ht="32.05" customHeight="1">
      <c r="A24" s="16"/>
      <c r="B24" s="26">
        <v>45859.720543981479</v>
      </c>
      <c r="C24" t="s" s="11">
        <v>239</v>
      </c>
      <c r="D24" t="s" s="11">
        <v>245</v>
      </c>
      <c r="E24" t="s" s="11">
        <v>240</v>
      </c>
      <c r="F24" s="12">
        <v>27</v>
      </c>
      <c r="G24" t="s" s="11">
        <v>247</v>
      </c>
      <c r="H24" t="s" s="11">
        <v>274</v>
      </c>
      <c r="I24" s="12">
        <v>0.8395</v>
      </c>
      <c r="J24" s="12">
        <v>0.9152</v>
      </c>
      <c r="K24" s="12">
        <v>0.3109</v>
      </c>
      <c r="L24" s="12">
        <v>0.5726</v>
      </c>
      <c r="M24" s="13"/>
      <c r="N24" s="13"/>
    </row>
    <row r="25" ht="32.05" customHeight="1">
      <c r="A25" s="16"/>
      <c r="B25" t="s" s="10">
        <v>243</v>
      </c>
      <c r="C25" t="s" s="11">
        <v>239</v>
      </c>
      <c r="D25" t="s" s="11">
        <v>237</v>
      </c>
      <c r="E25" t="s" s="11">
        <v>240</v>
      </c>
      <c r="F25" s="12">
        <v>89</v>
      </c>
      <c r="G25" s="12">
        <v>0.6022999999999999</v>
      </c>
      <c r="H25" t="s" s="11">
        <v>275</v>
      </c>
      <c r="I25" s="12">
        <v>0.8509</v>
      </c>
      <c r="J25" s="12">
        <v>0.9217</v>
      </c>
      <c r="K25" s="12">
        <v>0.3159</v>
      </c>
      <c r="L25" s="12">
        <v>0.5832000000000001</v>
      </c>
      <c r="M25" s="13"/>
      <c r="N25" s="13"/>
    </row>
    <row r="26" ht="32.05" customHeight="1">
      <c r="A26" t="s" s="9">
        <v>276</v>
      </c>
      <c r="B26" s="17"/>
      <c r="C26" t="s" s="11">
        <v>239</v>
      </c>
      <c r="D26" t="s" s="11">
        <v>245</v>
      </c>
      <c r="E26" t="s" s="11">
        <v>240</v>
      </c>
      <c r="F26" s="12">
        <v>16</v>
      </c>
      <c r="G26" t="s" s="11">
        <v>247</v>
      </c>
      <c r="H26" s="12">
        <v>3.0186</v>
      </c>
      <c r="I26" s="12">
        <v>0.4915</v>
      </c>
      <c r="J26" s="12">
        <v>0.7756</v>
      </c>
      <c r="K26" s="12">
        <v>-1.6804</v>
      </c>
      <c r="L26" s="12">
        <v>0.2919</v>
      </c>
      <c r="M26" s="13"/>
      <c r="N26" s="13"/>
    </row>
    <row r="27" ht="20.05" customHeight="1">
      <c r="A27" s="16"/>
      <c r="B27" s="17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</row>
    <row r="28" ht="20.05" customHeight="1">
      <c r="A28" s="16"/>
      <c r="B28" s="17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</row>
    <row r="29" ht="212.05" customHeight="1">
      <c r="A29" t="s" s="9">
        <v>277</v>
      </c>
      <c r="B29" s="24">
        <v>18264</v>
      </c>
      <c r="C29" t="s" s="11">
        <v>239</v>
      </c>
      <c r="D29" t="s" s="11">
        <v>237</v>
      </c>
      <c r="E29" t="s" s="11">
        <v>240</v>
      </c>
      <c r="F29" s="12">
        <v>46</v>
      </c>
      <c r="G29" s="12">
        <v>0.6347</v>
      </c>
      <c r="H29" t="s" s="11">
        <v>278</v>
      </c>
      <c r="I29" s="12">
        <v>0.8508</v>
      </c>
      <c r="J29" s="12">
        <v>0.9218</v>
      </c>
      <c r="K29" s="12">
        <v>0.3177</v>
      </c>
      <c r="L29" s="12">
        <v>0.5796</v>
      </c>
      <c r="M29" s="13"/>
      <c r="N29" s="13"/>
    </row>
    <row r="30" ht="32.05" customHeight="1">
      <c r="A30" s="16"/>
      <c r="B30" s="17"/>
      <c r="C30" t="s" s="11">
        <v>239</v>
      </c>
      <c r="D30" t="s" s="11">
        <v>245</v>
      </c>
      <c r="E30" t="s" s="11">
        <v>240</v>
      </c>
      <c r="F30" s="13"/>
      <c r="G30" s="13"/>
      <c r="H30" s="13"/>
      <c r="I30" s="13"/>
      <c r="J30" s="13"/>
      <c r="K30" s="13"/>
      <c r="L30" s="13"/>
      <c r="M30" s="13"/>
      <c r="N30" s="13"/>
    </row>
    <row r="31" ht="32.05" customHeight="1">
      <c r="A31" s="16"/>
      <c r="B31" t="s" s="10">
        <v>243</v>
      </c>
      <c r="C31" t="s" s="11">
        <v>239</v>
      </c>
      <c r="D31" t="s" s="11">
        <v>237</v>
      </c>
      <c r="E31" t="s" s="11">
        <v>240</v>
      </c>
      <c r="F31" s="13"/>
      <c r="G31" s="13"/>
      <c r="H31" s="13"/>
      <c r="I31" s="13"/>
      <c r="J31" s="13"/>
      <c r="K31" s="13"/>
      <c r="L31" s="13"/>
      <c r="M31" s="13"/>
      <c r="N31" s="13"/>
    </row>
    <row r="32" ht="212.05" customHeight="1">
      <c r="A32" t="s" s="9">
        <v>279</v>
      </c>
      <c r="B32" s="24">
        <v>18264</v>
      </c>
      <c r="C32" t="s" s="11">
        <v>239</v>
      </c>
      <c r="D32" t="s" s="11">
        <v>237</v>
      </c>
      <c r="E32" t="s" s="11">
        <v>240</v>
      </c>
      <c r="F32" s="12">
        <v>46</v>
      </c>
      <c r="G32" s="12">
        <v>0.6259</v>
      </c>
      <c r="H32" t="s" s="11">
        <v>280</v>
      </c>
      <c r="I32" s="12">
        <v>0.8508</v>
      </c>
      <c r="J32" s="12">
        <v>0.9217</v>
      </c>
      <c r="K32" s="12">
        <v>0.3152</v>
      </c>
      <c r="L32" s="12">
        <v>0.5821</v>
      </c>
      <c r="M32" s="13"/>
      <c r="N32" s="13"/>
    </row>
    <row r="33" ht="32.05" customHeight="1">
      <c r="A33" s="16"/>
      <c r="B33" s="26">
        <v>45859.720543981479</v>
      </c>
      <c r="C33" t="s" s="11">
        <v>239</v>
      </c>
      <c r="D33" t="s" s="11">
        <v>245</v>
      </c>
      <c r="E33" t="s" s="11">
        <v>240</v>
      </c>
      <c r="F33" s="13"/>
      <c r="G33" s="13"/>
      <c r="H33" s="13"/>
      <c r="I33" s="13"/>
      <c r="J33" s="13"/>
      <c r="K33" s="13"/>
      <c r="L33" s="13"/>
      <c r="M33" s="13"/>
      <c r="N33" s="13"/>
    </row>
    <row r="34" ht="32.05" customHeight="1">
      <c r="A34" s="16"/>
      <c r="B34" t="s" s="10">
        <v>243</v>
      </c>
      <c r="C34" t="s" s="11">
        <v>239</v>
      </c>
      <c r="D34" t="s" s="11">
        <v>237</v>
      </c>
      <c r="E34" t="s" s="11">
        <v>240</v>
      </c>
      <c r="F34" s="13"/>
      <c r="G34" s="13"/>
      <c r="H34" s="13"/>
      <c r="I34" s="13"/>
      <c r="J34" s="13"/>
      <c r="K34" s="13"/>
      <c r="L34" s="13"/>
      <c r="M34" s="13"/>
      <c r="N34" s="13"/>
    </row>
    <row r="35" ht="212.05" customHeight="1">
      <c r="A35" t="s" s="27">
        <v>281</v>
      </c>
      <c r="B35" s="24">
        <v>18264</v>
      </c>
      <c r="C35" t="s" s="11">
        <v>239</v>
      </c>
      <c r="D35" t="s" s="11">
        <v>237</v>
      </c>
      <c r="E35" t="s" s="11">
        <v>240</v>
      </c>
      <c r="F35" s="12">
        <v>49</v>
      </c>
      <c r="G35" s="12">
        <v>0.612</v>
      </c>
      <c r="H35" t="s" s="11">
        <v>282</v>
      </c>
      <c r="I35" s="12">
        <v>0.8522999999999999</v>
      </c>
      <c r="J35" s="12">
        <v>0.9227</v>
      </c>
      <c r="K35" s="12">
        <v>0.322</v>
      </c>
      <c r="L35" s="12">
        <v>0.5851</v>
      </c>
      <c r="M35" s="13"/>
      <c r="N35" s="13"/>
    </row>
    <row r="36" ht="32.05" customHeight="1">
      <c r="A36" s="16"/>
      <c r="B36" s="26">
        <v>45859.720543981479</v>
      </c>
      <c r="C36" t="s" s="11">
        <v>239</v>
      </c>
      <c r="D36" t="s" s="11">
        <v>245</v>
      </c>
      <c r="E36" t="s" s="11">
        <v>240</v>
      </c>
      <c r="F36" s="13"/>
      <c r="G36" s="13"/>
      <c r="H36" s="13"/>
      <c r="I36" s="13"/>
      <c r="J36" s="13"/>
      <c r="K36" s="13"/>
      <c r="L36" s="13"/>
      <c r="M36" s="13"/>
      <c r="N36" s="13"/>
    </row>
    <row r="37" ht="32.05" customHeight="1">
      <c r="A37" s="16"/>
      <c r="B37" t="s" s="10">
        <v>243</v>
      </c>
      <c r="C37" t="s" s="11">
        <v>239</v>
      </c>
      <c r="D37" t="s" s="11">
        <v>237</v>
      </c>
      <c r="E37" t="s" s="11">
        <v>240</v>
      </c>
      <c r="F37" s="13"/>
      <c r="G37" s="13"/>
      <c r="H37" s="13"/>
      <c r="I37" s="13"/>
      <c r="J37" s="13"/>
      <c r="K37" s="13"/>
      <c r="L37" s="13"/>
      <c r="M37" s="13"/>
      <c r="N37" s="13"/>
    </row>
    <row r="38" ht="212.05" customHeight="1">
      <c r="A38" t="s" s="9">
        <v>283</v>
      </c>
      <c r="B38" s="24">
        <v>18264</v>
      </c>
      <c r="C38" t="s" s="11">
        <v>239</v>
      </c>
      <c r="D38" t="s" s="11">
        <v>237</v>
      </c>
      <c r="E38" t="s" s="11">
        <v>240</v>
      </c>
      <c r="F38" s="12">
        <v>46</v>
      </c>
      <c r="G38" s="12">
        <v>0.6192</v>
      </c>
      <c r="H38" t="s" s="11">
        <v>284</v>
      </c>
      <c r="I38" s="12">
        <v>0.8502999999999999</v>
      </c>
      <c r="J38" s="12">
        <v>0.9216</v>
      </c>
      <c r="K38" s="12">
        <v>0.3132</v>
      </c>
      <c r="L38" s="12">
        <v>0.5821</v>
      </c>
      <c r="M38" s="13"/>
      <c r="N38" s="13"/>
    </row>
    <row r="39" ht="32.05" customHeight="1">
      <c r="A39" s="16"/>
      <c r="B39" s="26">
        <v>45859.720543981479</v>
      </c>
      <c r="C39" t="s" s="11">
        <v>239</v>
      </c>
      <c r="D39" t="s" s="11">
        <v>245</v>
      </c>
      <c r="E39" t="s" s="11">
        <v>240</v>
      </c>
      <c r="F39" s="13"/>
      <c r="G39" s="13"/>
      <c r="H39" s="13"/>
      <c r="I39" s="13"/>
      <c r="J39" s="13"/>
      <c r="K39" s="13"/>
      <c r="L39" s="13"/>
      <c r="M39" s="13"/>
      <c r="N39" s="13"/>
    </row>
    <row r="40" ht="32.05" customHeight="1">
      <c r="A40" s="16"/>
      <c r="B40" t="s" s="10">
        <v>243</v>
      </c>
      <c r="C40" t="s" s="11">
        <v>239</v>
      </c>
      <c r="D40" t="s" s="11">
        <v>237</v>
      </c>
      <c r="E40" t="s" s="11">
        <v>240</v>
      </c>
      <c r="F40" s="13"/>
      <c r="G40" s="13"/>
      <c r="H40" s="13"/>
      <c r="I40" s="13"/>
      <c r="J40" s="13"/>
      <c r="K40" s="13"/>
      <c r="L40" s="13"/>
      <c r="M40" s="13"/>
      <c r="N40" s="13"/>
    </row>
    <row r="41" ht="212.05" customHeight="1">
      <c r="A41" t="s" s="9">
        <v>285</v>
      </c>
      <c r="B41" s="24">
        <v>18264</v>
      </c>
      <c r="C41" t="s" s="11">
        <v>239</v>
      </c>
      <c r="D41" t="s" s="11">
        <v>237</v>
      </c>
      <c r="E41" t="s" s="11">
        <v>240</v>
      </c>
      <c r="F41" s="12">
        <v>46</v>
      </c>
      <c r="G41" s="12">
        <v>0.6266</v>
      </c>
      <c r="H41" t="s" s="11">
        <v>286</v>
      </c>
      <c r="I41" s="12">
        <v>0.8507</v>
      </c>
      <c r="J41" s="12">
        <v>0.9218</v>
      </c>
      <c r="K41" s="12">
        <v>0.3164</v>
      </c>
      <c r="L41" s="12">
        <v>0.5825</v>
      </c>
      <c r="M41" s="13"/>
      <c r="N41" s="13"/>
    </row>
    <row r="42" ht="212.05" customHeight="1">
      <c r="A42" t="s" s="9">
        <v>287</v>
      </c>
      <c r="B42" s="24">
        <v>18264</v>
      </c>
      <c r="C42" t="s" s="11">
        <v>239</v>
      </c>
      <c r="D42" t="s" s="11">
        <v>237</v>
      </c>
      <c r="E42" t="s" s="11">
        <v>240</v>
      </c>
      <c r="F42" s="12">
        <v>42</v>
      </c>
      <c r="G42" s="12">
        <v>0.6148</v>
      </c>
      <c r="H42" t="s" s="11">
        <v>288</v>
      </c>
      <c r="I42" s="12">
        <v>0.8512999999999999</v>
      </c>
      <c r="J42" s="12">
        <v>0.9221</v>
      </c>
      <c r="K42" s="12">
        <v>0.3173</v>
      </c>
      <c r="L42" s="12">
        <v>0.584</v>
      </c>
      <c r="M42" s="13"/>
      <c r="N42" s="13"/>
    </row>
    <row r="43" ht="20.05" customHeight="1">
      <c r="A43" s="16"/>
      <c r="B43" s="17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</row>
    <row r="44" ht="44.05" customHeight="1">
      <c r="A44" t="s" s="9">
        <v>289</v>
      </c>
      <c r="B44" s="17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</row>
    <row r="45" ht="32.05" customHeight="1">
      <c r="A45" t="s" s="9">
        <v>290</v>
      </c>
      <c r="B45" s="24">
        <v>18264</v>
      </c>
      <c r="C45" t="s" s="11">
        <v>239</v>
      </c>
      <c r="D45" t="s" s="11">
        <v>237</v>
      </c>
      <c r="E45" t="s" s="11">
        <v>240</v>
      </c>
      <c r="F45" s="12">
        <v>50</v>
      </c>
      <c r="G45" s="12">
        <v>0.6362</v>
      </c>
      <c r="H45" t="s" s="11">
        <v>291</v>
      </c>
      <c r="I45" s="12">
        <v>0.8498</v>
      </c>
      <c r="J45" s="12">
        <v>0.9212</v>
      </c>
      <c r="K45" s="12">
        <v>0.3127</v>
      </c>
      <c r="L45" s="12">
        <v>0.5775</v>
      </c>
      <c r="M45" s="13"/>
      <c r="N45" s="13"/>
    </row>
    <row r="46" ht="32.05" customHeight="1">
      <c r="A46" t="s" s="9">
        <v>292</v>
      </c>
      <c r="B46" s="24">
        <v>18264</v>
      </c>
      <c r="C46" t="s" s="11">
        <v>239</v>
      </c>
      <c r="D46" t="s" s="11">
        <v>237</v>
      </c>
      <c r="E46" t="s" s="11">
        <v>240</v>
      </c>
      <c r="F46" s="12">
        <v>19</v>
      </c>
      <c r="G46" s="12">
        <v>0.6514</v>
      </c>
      <c r="H46" t="s" s="11">
        <v>293</v>
      </c>
      <c r="I46" s="12">
        <v>0.85</v>
      </c>
      <c r="J46" s="12">
        <v>0.9213</v>
      </c>
      <c r="K46" s="12">
        <v>0.3141</v>
      </c>
      <c r="L46" s="12">
        <v>0.5774</v>
      </c>
      <c r="M46" s="13"/>
      <c r="N46" s="13"/>
    </row>
    <row r="47" ht="32.05" customHeight="1">
      <c r="A47" t="s" s="9">
        <v>294</v>
      </c>
      <c r="B47" s="24">
        <v>18264</v>
      </c>
      <c r="C47" t="s" s="11">
        <v>239</v>
      </c>
      <c r="D47" t="s" s="11">
        <v>237</v>
      </c>
      <c r="E47" t="s" s="11">
        <v>240</v>
      </c>
      <c r="F47" s="12">
        <v>48</v>
      </c>
      <c r="G47" s="12">
        <v>0.6342</v>
      </c>
      <c r="H47" t="s" s="19">
        <v>295</v>
      </c>
      <c r="I47" s="12">
        <v>0.8509</v>
      </c>
      <c r="J47" s="12">
        <v>0.9218</v>
      </c>
      <c r="K47" s="12">
        <v>0.3205</v>
      </c>
      <c r="L47" s="12">
        <v>0.581</v>
      </c>
      <c r="M47" s="13"/>
      <c r="N47" s="13"/>
    </row>
    <row r="48" ht="32.05" customHeight="1">
      <c r="A48" t="s" s="9">
        <v>296</v>
      </c>
      <c r="B48" s="24">
        <v>18264</v>
      </c>
      <c r="C48" t="s" s="11">
        <v>239</v>
      </c>
      <c r="D48" t="s" s="11">
        <v>237</v>
      </c>
      <c r="E48" t="s" s="11">
        <v>240</v>
      </c>
      <c r="F48" s="12">
        <v>43</v>
      </c>
      <c r="G48" s="12">
        <v>0.6437</v>
      </c>
      <c r="H48" t="s" s="11">
        <v>297</v>
      </c>
      <c r="I48" s="12">
        <v>0.8506</v>
      </c>
      <c r="J48" s="12">
        <v>0.9216</v>
      </c>
      <c r="K48" s="12">
        <v>0.3156</v>
      </c>
      <c r="L48" s="12">
        <v>0.5784</v>
      </c>
      <c r="M48" s="13"/>
      <c r="N48" s="13"/>
    </row>
    <row r="49" ht="32.05" customHeight="1">
      <c r="A49" t="s" s="27">
        <v>298</v>
      </c>
      <c r="B49" s="24">
        <v>18264</v>
      </c>
      <c r="C49" t="s" s="11">
        <v>239</v>
      </c>
      <c r="D49" t="s" s="11">
        <v>237</v>
      </c>
      <c r="E49" t="s" s="11">
        <v>240</v>
      </c>
      <c r="F49" s="12">
        <v>48</v>
      </c>
      <c r="G49" s="12">
        <v>0.6259</v>
      </c>
      <c r="H49" t="s" s="11">
        <v>299</v>
      </c>
      <c r="I49" s="14">
        <v>0.8514</v>
      </c>
      <c r="J49" s="14">
        <v>0.9221</v>
      </c>
      <c r="K49" s="14">
        <v>0.3235</v>
      </c>
      <c r="L49" s="14">
        <v>0.583</v>
      </c>
      <c r="M49" s="13"/>
      <c r="N49" s="13"/>
    </row>
    <row r="50" ht="32.05" customHeight="1">
      <c r="A50" t="s" s="9">
        <v>300</v>
      </c>
      <c r="B50" s="24">
        <v>18264</v>
      </c>
      <c r="C50" t="s" s="11">
        <v>239</v>
      </c>
      <c r="D50" t="s" s="11">
        <v>237</v>
      </c>
      <c r="E50" t="s" s="11">
        <v>240</v>
      </c>
      <c r="F50" s="12">
        <v>38</v>
      </c>
      <c r="G50" s="12">
        <v>0.634</v>
      </c>
      <c r="H50" t="s" s="11">
        <v>301</v>
      </c>
      <c r="I50" s="12">
        <v>0.8508</v>
      </c>
      <c r="J50" s="12">
        <v>0.9218</v>
      </c>
      <c r="K50" s="12">
        <v>0.3155</v>
      </c>
      <c r="L50" s="12">
        <v>0.5802</v>
      </c>
      <c r="M50" s="13"/>
      <c r="N50" s="13"/>
    </row>
    <row r="51" ht="20.05" customHeight="1">
      <c r="A51" s="16"/>
      <c r="B51" s="17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</row>
    <row r="52" ht="20.05" customHeight="1">
      <c r="A52" s="16"/>
      <c r="B52" s="17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</row>
    <row r="53" ht="20.05" customHeight="1">
      <c r="A53" s="16"/>
      <c r="B53" s="17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</row>
  </sheetData>
  <mergeCells count="1">
    <mergeCell ref="A1:N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2:O247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5" width="16.3516" style="28" customWidth="1"/>
    <col min="16" max="16384" width="16.3516" style="28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32.25" customHeight="1">
      <c r="A2" t="s" s="3">
        <v>1</v>
      </c>
      <c r="B2" t="s" s="3">
        <v>229</v>
      </c>
      <c r="C2" t="s" s="3">
        <v>2</v>
      </c>
      <c r="D2" t="s" s="3">
        <v>230</v>
      </c>
      <c r="E2" t="s" s="3">
        <v>3</v>
      </c>
      <c r="F2" t="s" s="3">
        <v>4</v>
      </c>
      <c r="G2" t="s" s="3">
        <v>5</v>
      </c>
      <c r="H2" t="s" s="3">
        <v>6</v>
      </c>
      <c r="I2" t="s" s="3">
        <v>302</v>
      </c>
      <c r="J2" t="s" s="3">
        <v>231</v>
      </c>
      <c r="K2" t="s" s="3">
        <v>232</v>
      </c>
      <c r="L2" t="s" s="3">
        <v>233</v>
      </c>
      <c r="M2" t="s" s="3">
        <v>234</v>
      </c>
      <c r="N2" t="s" s="3">
        <v>235</v>
      </c>
      <c r="O2" t="s" s="3">
        <v>8</v>
      </c>
    </row>
    <row r="3" ht="212.25" customHeight="1">
      <c r="A3" t="s" s="4">
        <v>303</v>
      </c>
      <c r="B3" s="21">
        <v>18264</v>
      </c>
      <c r="C3" t="s" s="6">
        <v>239</v>
      </c>
      <c r="D3" t="s" s="6">
        <v>237</v>
      </c>
      <c r="E3" t="s" s="6">
        <v>240</v>
      </c>
      <c r="F3" s="7">
        <v>50</v>
      </c>
      <c r="G3" s="7">
        <v>0.6139</v>
      </c>
      <c r="H3" t="s" s="6">
        <v>262</v>
      </c>
      <c r="I3" s="8"/>
      <c r="J3" s="7">
        <v>0.852</v>
      </c>
      <c r="K3" s="7">
        <v>0.9225</v>
      </c>
      <c r="L3" s="7">
        <v>0.3221</v>
      </c>
      <c r="M3" s="7">
        <v>0.5859</v>
      </c>
      <c r="N3" t="s" s="29">
        <v>261</v>
      </c>
      <c r="O3" s="30">
        <v>18264</v>
      </c>
    </row>
    <row r="4" ht="224.05" customHeight="1">
      <c r="A4" t="s" s="9">
        <v>304</v>
      </c>
      <c r="B4" s="24">
        <v>18264</v>
      </c>
      <c r="C4" t="s" s="11">
        <v>239</v>
      </c>
      <c r="D4" t="s" s="11">
        <v>237</v>
      </c>
      <c r="E4" t="s" s="11">
        <v>240</v>
      </c>
      <c r="F4" s="12">
        <v>49</v>
      </c>
      <c r="G4" s="12">
        <v>0.612</v>
      </c>
      <c r="H4" t="s" s="11">
        <v>282</v>
      </c>
      <c r="I4" s="13"/>
      <c r="J4" s="12">
        <v>0.8522999999999999</v>
      </c>
      <c r="K4" s="12">
        <v>0.9227</v>
      </c>
      <c r="L4" s="12">
        <v>0.322</v>
      </c>
      <c r="M4" s="12">
        <v>0.5851</v>
      </c>
      <c r="N4" s="13"/>
      <c r="O4" s="13"/>
    </row>
    <row r="5" ht="224.05" customHeight="1">
      <c r="A5" t="s" s="9">
        <v>304</v>
      </c>
      <c r="B5" t="s" s="10">
        <v>243</v>
      </c>
      <c r="C5" t="s" s="11">
        <v>239</v>
      </c>
      <c r="D5" t="s" s="11">
        <v>237</v>
      </c>
      <c r="E5" t="s" s="11">
        <v>240</v>
      </c>
      <c r="F5" s="12">
        <v>79</v>
      </c>
      <c r="G5" s="12">
        <v>0.5985</v>
      </c>
      <c r="H5" t="s" s="11">
        <v>305</v>
      </c>
      <c r="I5" s="13"/>
      <c r="J5" s="12">
        <v>0.8527</v>
      </c>
      <c r="K5" s="12">
        <v>0.9228</v>
      </c>
      <c r="L5" s="12">
        <v>0.3258</v>
      </c>
      <c r="M5" s="12">
        <v>0.5888</v>
      </c>
      <c r="N5" s="13"/>
      <c r="O5" s="13"/>
    </row>
    <row r="6" ht="248.05" customHeight="1">
      <c r="A6" t="s" s="9">
        <v>306</v>
      </c>
      <c r="B6" s="24">
        <v>18264</v>
      </c>
      <c r="C6" t="s" s="11">
        <v>239</v>
      </c>
      <c r="D6" t="s" s="11">
        <v>237</v>
      </c>
      <c r="E6" t="s" s="11">
        <v>240</v>
      </c>
      <c r="F6" s="12">
        <v>38</v>
      </c>
      <c r="G6" s="12">
        <v>0.634</v>
      </c>
      <c r="H6" t="s" s="11">
        <v>301</v>
      </c>
      <c r="I6" s="13"/>
      <c r="J6" s="12">
        <v>0.8508</v>
      </c>
      <c r="K6" s="12">
        <v>0.9218</v>
      </c>
      <c r="L6" s="12">
        <v>0.3155</v>
      </c>
      <c r="M6" s="12">
        <v>0.5802</v>
      </c>
      <c r="N6" s="13"/>
      <c r="O6" s="13"/>
    </row>
    <row r="7" ht="248.05" customHeight="1">
      <c r="A7" t="s" s="9">
        <v>306</v>
      </c>
      <c r="B7" t="s" s="10">
        <v>243</v>
      </c>
      <c r="C7" t="s" s="11">
        <v>239</v>
      </c>
      <c r="D7" t="s" s="11">
        <v>237</v>
      </c>
      <c r="E7" t="s" s="11">
        <v>240</v>
      </c>
      <c r="F7" s="13"/>
      <c r="G7" s="13"/>
      <c r="H7" s="13"/>
      <c r="I7" s="13"/>
      <c r="J7" s="13"/>
      <c r="K7" s="13"/>
      <c r="L7" s="13"/>
      <c r="M7" s="13"/>
      <c r="N7" s="13"/>
      <c r="O7" s="13"/>
    </row>
    <row r="8" ht="20.05" customHeight="1">
      <c r="A8" s="31">
        <v>45889</v>
      </c>
      <c r="B8" s="17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</row>
    <row r="9" ht="248.05" customHeight="1">
      <c r="A9" t="s" s="9">
        <v>306</v>
      </c>
      <c r="B9" s="17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</row>
    <row r="10" ht="20.05" customHeight="1">
      <c r="A10" s="16"/>
      <c r="B10" s="17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ht="20.05" customHeight="1">
      <c r="A11" t="s" s="9">
        <v>307</v>
      </c>
      <c r="B11" s="17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</row>
    <row r="12" ht="20.05" customHeight="1">
      <c r="A12" t="s" s="9">
        <v>308</v>
      </c>
      <c r="B12" s="17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</row>
    <row r="13" ht="32.05" customHeight="1">
      <c r="A13" t="s" s="9">
        <v>309</v>
      </c>
      <c r="B13" s="24">
        <v>18264</v>
      </c>
      <c r="C13" t="s" s="11">
        <v>239</v>
      </c>
      <c r="D13" t="s" s="11">
        <v>237</v>
      </c>
      <c r="E13" s="13"/>
      <c r="F13" s="12">
        <v>44</v>
      </c>
      <c r="G13" s="12">
        <v>0.6311</v>
      </c>
      <c r="H13" t="s" s="11">
        <v>310</v>
      </c>
      <c r="I13" s="13"/>
      <c r="J13" s="12">
        <v>0.8537</v>
      </c>
      <c r="K13" s="12">
        <v>0.9228</v>
      </c>
      <c r="L13" s="12">
        <v>0.2676</v>
      </c>
      <c r="M13" s="12">
        <v>0.5594</v>
      </c>
      <c r="N13" s="13"/>
      <c r="O13" s="13"/>
    </row>
    <row r="14" ht="32.05" customHeight="1">
      <c r="A14" t="s" s="9">
        <v>311</v>
      </c>
      <c r="B14" s="24">
        <v>18264</v>
      </c>
      <c r="C14" t="s" s="11">
        <v>239</v>
      </c>
      <c r="D14" t="s" s="11">
        <v>237</v>
      </c>
      <c r="E14" s="13"/>
      <c r="F14" s="12">
        <v>38</v>
      </c>
      <c r="G14" s="12">
        <v>0.634</v>
      </c>
      <c r="H14" t="s" s="11">
        <v>301</v>
      </c>
      <c r="I14" s="13"/>
      <c r="J14" s="12">
        <v>0.8508</v>
      </c>
      <c r="K14" s="12">
        <v>0.9218</v>
      </c>
      <c r="L14" s="12">
        <v>0.3155</v>
      </c>
      <c r="M14" s="12">
        <v>0.5802</v>
      </c>
      <c r="N14" s="13"/>
      <c r="O14" s="13"/>
    </row>
    <row r="15" ht="32.05" customHeight="1">
      <c r="A15" s="16"/>
      <c r="B15" t="s" s="10">
        <v>312</v>
      </c>
      <c r="C15" t="s" s="11">
        <v>239</v>
      </c>
      <c r="D15" t="s" s="11">
        <v>237</v>
      </c>
      <c r="E15" s="13"/>
      <c r="F15" s="12">
        <v>57</v>
      </c>
      <c r="G15" s="12">
        <v>0.6209</v>
      </c>
      <c r="H15" t="s" s="11">
        <v>313</v>
      </c>
      <c r="I15" s="13"/>
      <c r="J15" s="12">
        <v>0.8519</v>
      </c>
      <c r="K15" s="12">
        <v>0.9224</v>
      </c>
      <c r="L15" s="12">
        <v>0.3219</v>
      </c>
      <c r="M15" s="12">
        <v>0.5835</v>
      </c>
      <c r="N15" s="13"/>
      <c r="O15" s="13"/>
    </row>
    <row r="16" ht="32.05" customHeight="1">
      <c r="A16" t="s" s="9">
        <v>314</v>
      </c>
      <c r="B16" s="24">
        <v>18264</v>
      </c>
      <c r="C16" t="s" s="11">
        <v>239</v>
      </c>
      <c r="D16" t="s" s="11">
        <v>237</v>
      </c>
      <c r="E16" s="13"/>
      <c r="F16" s="12">
        <v>44</v>
      </c>
      <c r="G16" s="12">
        <v>0.6369</v>
      </c>
      <c r="H16" t="s" s="11">
        <v>315</v>
      </c>
      <c r="I16" s="13"/>
      <c r="J16" s="12">
        <v>0.8508</v>
      </c>
      <c r="K16" s="12">
        <v>0.9218</v>
      </c>
      <c r="L16" s="12">
        <v>0.2728</v>
      </c>
      <c r="M16" s="12">
        <v>0.5541</v>
      </c>
      <c r="N16" s="13"/>
      <c r="O16" s="13"/>
    </row>
    <row r="17" ht="32.05" customHeight="1">
      <c r="A17" t="s" s="9">
        <v>316</v>
      </c>
      <c r="B17" s="24">
        <v>18264</v>
      </c>
      <c r="C17" t="s" s="11">
        <v>239</v>
      </c>
      <c r="D17" t="s" s="11">
        <v>237</v>
      </c>
      <c r="E17" s="13"/>
      <c r="F17" s="12">
        <v>36</v>
      </c>
      <c r="G17" s="12">
        <v>0.6391</v>
      </c>
      <c r="H17" t="s" s="11">
        <v>317</v>
      </c>
      <c r="I17" s="13"/>
      <c r="J17" s="12">
        <v>0.8336</v>
      </c>
      <c r="K17" s="12">
        <v>0.9122</v>
      </c>
      <c r="L17" s="12">
        <v>0.2875</v>
      </c>
      <c r="M17" s="12">
        <v>0.5629</v>
      </c>
      <c r="N17" s="13"/>
      <c r="O17" s="13"/>
    </row>
    <row r="18" ht="32.05" customHeight="1">
      <c r="A18" t="s" s="9">
        <v>318</v>
      </c>
      <c r="B18" s="24">
        <v>18264</v>
      </c>
      <c r="C18" t="s" s="11">
        <v>239</v>
      </c>
      <c r="D18" t="s" s="11">
        <v>237</v>
      </c>
      <c r="E18" s="13"/>
      <c r="F18" s="12">
        <v>47</v>
      </c>
      <c r="G18" s="12">
        <v>0.6189</v>
      </c>
      <c r="H18" t="s" s="11">
        <v>319</v>
      </c>
      <c r="I18" s="13"/>
      <c r="J18" s="12">
        <v>0.8506</v>
      </c>
      <c r="K18" s="12">
        <v>0.9218</v>
      </c>
      <c r="L18" s="12">
        <v>0.3009</v>
      </c>
      <c r="M18" s="12">
        <v>0.5651</v>
      </c>
      <c r="N18" s="13"/>
      <c r="O18" s="13"/>
    </row>
    <row r="19" ht="32.05" customHeight="1">
      <c r="A19" t="s" s="9">
        <v>309</v>
      </c>
      <c r="B19" s="24">
        <v>18264</v>
      </c>
      <c r="C19" t="s" s="11">
        <v>239</v>
      </c>
      <c r="D19" t="s" s="11">
        <v>245</v>
      </c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</row>
    <row r="20" ht="32.05" customHeight="1">
      <c r="A20" t="s" s="9">
        <v>311</v>
      </c>
      <c r="B20" s="24">
        <v>18264</v>
      </c>
      <c r="C20" t="s" s="11">
        <v>239</v>
      </c>
      <c r="D20" t="s" s="11">
        <v>245</v>
      </c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</row>
    <row r="21" ht="32.05" customHeight="1">
      <c r="A21" t="s" s="9">
        <v>314</v>
      </c>
      <c r="B21" s="24">
        <v>18264</v>
      </c>
      <c r="C21" t="s" s="11">
        <v>239</v>
      </c>
      <c r="D21" t="s" s="11">
        <v>245</v>
      </c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</row>
    <row r="22" ht="32.05" customHeight="1">
      <c r="A22" t="s" s="9">
        <v>316</v>
      </c>
      <c r="B22" s="24">
        <v>18264</v>
      </c>
      <c r="C22" t="s" s="11">
        <v>239</v>
      </c>
      <c r="D22" t="s" s="11">
        <v>245</v>
      </c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</row>
    <row r="23" ht="32.05" customHeight="1">
      <c r="A23" t="s" s="9">
        <v>318</v>
      </c>
      <c r="B23" s="24">
        <v>18264</v>
      </c>
      <c r="C23" t="s" s="11">
        <v>239</v>
      </c>
      <c r="D23" t="s" s="11">
        <v>245</v>
      </c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</row>
    <row r="24" ht="20.05" customHeight="1">
      <c r="A24" t="s" s="9">
        <v>320</v>
      </c>
      <c r="B24" s="17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</row>
    <row r="25" ht="32.05" customHeight="1">
      <c r="A25" t="s" s="9">
        <v>309</v>
      </c>
      <c r="B25" t="s" s="10">
        <v>243</v>
      </c>
      <c r="C25" t="s" s="11">
        <v>239</v>
      </c>
      <c r="D25" t="s" s="11">
        <v>237</v>
      </c>
      <c r="E25" s="13"/>
      <c r="F25" s="12">
        <v>96</v>
      </c>
      <c r="G25" s="12">
        <v>0.6041</v>
      </c>
      <c r="H25" t="s" s="11">
        <v>321</v>
      </c>
      <c r="I25" s="13"/>
      <c r="J25" s="12">
        <v>0.8552</v>
      </c>
      <c r="K25" s="12">
        <v>0.9236</v>
      </c>
      <c r="L25" s="12">
        <v>0.2824</v>
      </c>
      <c r="M25" s="12">
        <v>0.5638</v>
      </c>
      <c r="N25" s="13"/>
      <c r="O25" s="13"/>
    </row>
    <row r="26" ht="32.05" customHeight="1">
      <c r="A26" t="s" s="9">
        <v>311</v>
      </c>
      <c r="B26" t="s" s="10">
        <v>243</v>
      </c>
      <c r="C26" t="s" s="11">
        <v>239</v>
      </c>
      <c r="D26" t="s" s="11">
        <v>237</v>
      </c>
      <c r="E26" s="13"/>
      <c r="F26" s="12">
        <v>88</v>
      </c>
      <c r="G26" s="12">
        <v>0.6061</v>
      </c>
      <c r="H26" t="s" s="11">
        <v>322</v>
      </c>
      <c r="I26" s="13"/>
      <c r="J26" s="12">
        <v>0.8521</v>
      </c>
      <c r="K26" s="12">
        <v>0.9225</v>
      </c>
      <c r="L26" s="12">
        <v>0.3232</v>
      </c>
      <c r="M26" s="12">
        <v>0.5857</v>
      </c>
      <c r="N26" s="13"/>
      <c r="O26" s="13"/>
    </row>
    <row r="27" ht="32.05" customHeight="1">
      <c r="A27" t="s" s="9">
        <v>314</v>
      </c>
      <c r="B27" t="s" s="10">
        <v>243</v>
      </c>
      <c r="C27" t="s" s="11">
        <v>239</v>
      </c>
      <c r="D27" t="s" s="11">
        <v>237</v>
      </c>
      <c r="E27" s="13"/>
      <c r="F27" s="12">
        <v>45</v>
      </c>
      <c r="G27" s="12">
        <v>0.6347</v>
      </c>
      <c r="H27" t="s" s="11">
        <v>323</v>
      </c>
      <c r="I27" s="13"/>
      <c r="J27" s="12">
        <v>0.8506</v>
      </c>
      <c r="K27" s="12">
        <v>0.9218</v>
      </c>
      <c r="L27" s="12">
        <v>0.2715</v>
      </c>
      <c r="M27" s="12">
        <v>0.5546</v>
      </c>
      <c r="N27" s="13"/>
      <c r="O27" t="s" s="11">
        <v>324</v>
      </c>
    </row>
    <row r="28" ht="32.05" customHeight="1">
      <c r="A28" t="s" s="9">
        <v>316</v>
      </c>
      <c r="B28" t="s" s="10">
        <v>243</v>
      </c>
      <c r="C28" t="s" s="11">
        <v>239</v>
      </c>
      <c r="D28" t="s" s="11">
        <v>237</v>
      </c>
      <c r="E28" s="13"/>
      <c r="F28" s="12">
        <v>36</v>
      </c>
      <c r="G28" s="12">
        <v>0.6391</v>
      </c>
      <c r="H28" t="s" s="11">
        <v>317</v>
      </c>
      <c r="I28" s="13"/>
      <c r="J28" s="12">
        <v>0.8336</v>
      </c>
      <c r="K28" s="12">
        <v>0.9122</v>
      </c>
      <c r="L28" s="12">
        <v>0.2875</v>
      </c>
      <c r="M28" s="12">
        <v>0.5629</v>
      </c>
      <c r="N28" s="13"/>
      <c r="O28" t="s" s="11">
        <v>324</v>
      </c>
    </row>
    <row r="29" ht="32.05" customHeight="1">
      <c r="A29" t="s" s="9">
        <v>318</v>
      </c>
      <c r="B29" t="s" s="10">
        <v>243</v>
      </c>
      <c r="C29" t="s" s="11">
        <v>239</v>
      </c>
      <c r="D29" t="s" s="11">
        <v>237</v>
      </c>
      <c r="E29" s="13"/>
      <c r="F29" s="12">
        <v>85</v>
      </c>
      <c r="G29" s="12">
        <v>0.6039</v>
      </c>
      <c r="H29" t="s" s="11">
        <v>325</v>
      </c>
      <c r="I29" s="13"/>
      <c r="J29" s="12">
        <v>0.8515</v>
      </c>
      <c r="K29" s="12">
        <v>0.9222</v>
      </c>
      <c r="L29" s="12">
        <v>0.305</v>
      </c>
      <c r="M29" s="12">
        <v>0.5671</v>
      </c>
      <c r="N29" s="13"/>
      <c r="O29" s="13"/>
    </row>
    <row r="30" ht="32.05" customHeight="1">
      <c r="A30" t="s" s="9">
        <v>309</v>
      </c>
      <c r="B30" t="s" s="10">
        <v>243</v>
      </c>
      <c r="C30" t="s" s="11">
        <v>239</v>
      </c>
      <c r="D30" t="s" s="11">
        <v>245</v>
      </c>
      <c r="E30" s="13"/>
      <c r="F30" s="12">
        <v>96</v>
      </c>
      <c r="G30" s="13"/>
      <c r="H30" t="s" s="11">
        <v>326</v>
      </c>
      <c r="I30" s="12">
        <v>1.1199</v>
      </c>
      <c r="J30" s="12">
        <v>0.8351</v>
      </c>
      <c r="K30" s="12">
        <v>0.9127999999999999</v>
      </c>
      <c r="L30" s="12">
        <v>0.2532</v>
      </c>
      <c r="M30" s="12">
        <v>0.5618</v>
      </c>
      <c r="N30" s="13"/>
      <c r="O30" s="13"/>
    </row>
    <row r="31" ht="32.05" customHeight="1">
      <c r="A31" t="s" s="9">
        <v>311</v>
      </c>
      <c r="B31" t="s" s="10">
        <v>243</v>
      </c>
      <c r="C31" t="s" s="11">
        <v>239</v>
      </c>
      <c r="D31" t="s" s="11">
        <v>245</v>
      </c>
      <c r="E31" s="13"/>
      <c r="F31" s="12">
        <v>88</v>
      </c>
      <c r="G31" s="13"/>
      <c r="H31" t="s" s="11">
        <v>327</v>
      </c>
      <c r="I31" s="12">
        <v>1.0033</v>
      </c>
      <c r="J31" s="12">
        <v>0.8406</v>
      </c>
      <c r="K31" s="12">
        <v>0.916</v>
      </c>
      <c r="L31" s="12">
        <v>0.3138</v>
      </c>
      <c r="M31" s="12">
        <v>0.5762</v>
      </c>
      <c r="N31" s="13"/>
      <c r="O31" s="13"/>
    </row>
    <row r="32" ht="32.05" customHeight="1">
      <c r="A32" t="s" s="9">
        <v>314</v>
      </c>
      <c r="B32" t="s" s="10">
        <v>243</v>
      </c>
      <c r="C32" t="s" s="11">
        <v>239</v>
      </c>
      <c r="D32" t="s" s="11">
        <v>245</v>
      </c>
      <c r="E32" s="13"/>
      <c r="F32" s="12">
        <v>45</v>
      </c>
      <c r="G32" s="13"/>
      <c r="H32" t="s" s="11">
        <v>328</v>
      </c>
      <c r="I32" s="12">
        <v>0.9452</v>
      </c>
      <c r="J32" s="12">
        <v>0.8514</v>
      </c>
      <c r="K32" s="12">
        <v>0.922</v>
      </c>
      <c r="L32" s="12">
        <v>0.2856</v>
      </c>
      <c r="M32" s="12">
        <v>0.5621</v>
      </c>
      <c r="N32" s="13"/>
      <c r="O32" s="13"/>
    </row>
    <row r="33" ht="32.05" customHeight="1">
      <c r="A33" t="s" s="9">
        <v>316</v>
      </c>
      <c r="B33" t="s" s="10">
        <v>243</v>
      </c>
      <c r="C33" t="s" s="11">
        <v>239</v>
      </c>
      <c r="D33" t="s" s="11">
        <v>245</v>
      </c>
      <c r="E33" s="13"/>
      <c r="F33" s="12">
        <v>36</v>
      </c>
      <c r="G33" s="13"/>
      <c r="H33" t="s" s="11">
        <v>329</v>
      </c>
      <c r="I33" s="12">
        <v>0.877</v>
      </c>
      <c r="J33" s="12">
        <v>0.8529</v>
      </c>
      <c r="K33" s="12">
        <v>0.9232</v>
      </c>
      <c r="L33" s="12">
        <v>0.2986</v>
      </c>
      <c r="M33" s="12">
        <v>0.5679</v>
      </c>
      <c r="N33" s="13"/>
      <c r="O33" s="13"/>
    </row>
    <row r="34" ht="32.05" customHeight="1">
      <c r="A34" t="s" s="9">
        <v>318</v>
      </c>
      <c r="B34" t="s" s="10">
        <v>243</v>
      </c>
      <c r="C34" t="s" s="11">
        <v>239</v>
      </c>
      <c r="D34" t="s" s="11">
        <v>245</v>
      </c>
      <c r="E34" s="13"/>
      <c r="F34" s="12">
        <v>85</v>
      </c>
      <c r="G34" s="13"/>
      <c r="H34" t="s" s="11">
        <v>330</v>
      </c>
      <c r="I34" s="12">
        <v>1.0134</v>
      </c>
      <c r="J34" s="12">
        <v>0.8409</v>
      </c>
      <c r="K34" s="12">
        <v>0.9166</v>
      </c>
      <c r="L34" s="12">
        <v>0.2633</v>
      </c>
      <c r="M34" s="12">
        <v>0.5659</v>
      </c>
      <c r="N34" s="13"/>
      <c r="O34" s="13"/>
    </row>
    <row r="35" ht="32.05" customHeight="1">
      <c r="A35" t="s" s="9">
        <v>331</v>
      </c>
      <c r="B35" t="s" s="10">
        <v>243</v>
      </c>
      <c r="C35" t="s" s="11">
        <v>239</v>
      </c>
      <c r="D35" t="s" s="11">
        <v>245</v>
      </c>
      <c r="E35" s="13"/>
      <c r="F35" s="13"/>
      <c r="G35" s="13"/>
      <c r="H35" s="13"/>
      <c r="I35" s="12" cm="1">
        <f t="array" ref="I35">AVERAGE(I30:I34)</f>
        <v>0.99176</v>
      </c>
      <c r="J35" s="12" cm="1">
        <f t="array" ref="J35">AVERAGE(J30:J34)</f>
        <v>0.84418</v>
      </c>
      <c r="K35" s="12" cm="1">
        <f t="array" ref="K35">AVERAGE(K30:K34)</f>
        <v>0.91812</v>
      </c>
      <c r="L35" s="12" cm="1">
        <f t="array" ref="L35">AVERAGE(L30:L34)</f>
        <v>0.2829</v>
      </c>
      <c r="M35" s="12" cm="1">
        <f t="array" ref="M35">AVERAGE(M30:M34)</f>
        <v>0.56678</v>
      </c>
      <c r="N35" s="13"/>
      <c r="O35" s="13"/>
    </row>
    <row r="36" ht="32.05" customHeight="1">
      <c r="A36" t="s" s="9">
        <v>332</v>
      </c>
      <c r="B36" t="s" s="10">
        <v>243</v>
      </c>
      <c r="C36" t="s" s="11">
        <v>239</v>
      </c>
      <c r="D36" t="s" s="11">
        <v>245</v>
      </c>
      <c r="E36" s="13"/>
      <c r="F36" s="13"/>
      <c r="G36" s="13"/>
      <c r="H36" s="13"/>
      <c r="I36" s="12" cm="1">
        <f t="array" ref="I36">STDEV(I30:I34)</f>
        <v>0.0899430542065367</v>
      </c>
      <c r="J36" s="12" cm="1">
        <f t="array" ref="J36">STDEV(J30:J34)</f>
        <v>0.00765160113963084</v>
      </c>
      <c r="K36" s="12" cm="1">
        <f t="array" ref="K36">STDEV(K30:K34)</f>
        <v>0.00435798118398875</v>
      </c>
      <c r="L36" s="12" cm="1">
        <f t="array" ref="L36">STDEV(L30:L34)</f>
        <v>0.0248738818844184</v>
      </c>
      <c r="M36" s="12" cm="1">
        <f t="array" ref="M36">STDEV(M30:M34)</f>
        <v>0.00586233741778823</v>
      </c>
      <c r="N36" s="13"/>
      <c r="O36" s="13"/>
    </row>
    <row r="37" ht="20.05" customHeight="1">
      <c r="A37" s="16"/>
      <c r="B37" s="17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</row>
    <row r="38" ht="20.05" customHeight="1">
      <c r="A38" t="s" s="9">
        <v>333</v>
      </c>
      <c r="B38" s="17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</row>
    <row r="39" ht="20.05" customHeight="1">
      <c r="A39" t="s" s="9">
        <v>308</v>
      </c>
      <c r="B39" s="17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</row>
    <row r="40" ht="32.05" customHeight="1">
      <c r="A40" t="s" s="9">
        <v>334</v>
      </c>
      <c r="B40" s="24">
        <v>18264</v>
      </c>
      <c r="C40" t="s" s="11">
        <v>239</v>
      </c>
      <c r="D40" t="s" s="11">
        <v>237</v>
      </c>
      <c r="E40" s="13"/>
      <c r="F40" s="12">
        <v>42</v>
      </c>
      <c r="G40" s="12">
        <v>0.643</v>
      </c>
      <c r="H40" t="s" s="11">
        <v>335</v>
      </c>
      <c r="I40" s="13"/>
      <c r="J40" s="12">
        <v>0.8656</v>
      </c>
      <c r="K40" s="12">
        <v>0.9295</v>
      </c>
      <c r="L40" s="12">
        <v>0.3658</v>
      </c>
      <c r="M40" s="12">
        <v>0.607</v>
      </c>
      <c r="N40" s="13"/>
      <c r="O40" s="13"/>
    </row>
    <row r="41" ht="32.05" customHeight="1">
      <c r="A41" t="s" s="9">
        <v>336</v>
      </c>
      <c r="B41" s="24">
        <v>18264</v>
      </c>
      <c r="C41" t="s" s="11">
        <v>239</v>
      </c>
      <c r="D41" t="s" s="11">
        <v>237</v>
      </c>
      <c r="E41" s="13"/>
      <c r="F41" s="12">
        <v>50</v>
      </c>
      <c r="G41" s="12">
        <v>0.638</v>
      </c>
      <c r="H41" t="s" s="11">
        <v>337</v>
      </c>
      <c r="I41" s="13"/>
      <c r="J41" s="12">
        <v>0.8681</v>
      </c>
      <c r="K41" s="12">
        <v>0.9307</v>
      </c>
      <c r="L41" s="12">
        <v>0.3704</v>
      </c>
      <c r="M41" s="12">
        <v>0.6106</v>
      </c>
      <c r="N41" s="13"/>
      <c r="O41" s="13"/>
    </row>
    <row r="42" ht="32.05" customHeight="1">
      <c r="A42" t="s" s="9">
        <v>338</v>
      </c>
      <c r="B42" s="24">
        <v>18264</v>
      </c>
      <c r="C42" t="s" s="11">
        <v>239</v>
      </c>
      <c r="D42" t="s" s="11">
        <v>237</v>
      </c>
      <c r="E42" s="13"/>
      <c r="F42" s="12">
        <v>42</v>
      </c>
      <c r="G42" s="12">
        <v>0.6277</v>
      </c>
      <c r="H42" t="s" s="11">
        <v>339</v>
      </c>
      <c r="I42" s="13"/>
      <c r="J42" s="12">
        <v>0.861</v>
      </c>
      <c r="K42" s="12">
        <v>0.927</v>
      </c>
      <c r="L42" s="12">
        <v>0.381</v>
      </c>
      <c r="M42" s="12">
        <v>0.6211</v>
      </c>
      <c r="N42" s="13"/>
      <c r="O42" s="13"/>
    </row>
    <row r="43" ht="32.05" customHeight="1">
      <c r="A43" t="s" s="9">
        <v>340</v>
      </c>
      <c r="B43" s="24">
        <v>18264</v>
      </c>
      <c r="C43" t="s" s="11">
        <v>239</v>
      </c>
      <c r="D43" t="s" s="11">
        <v>237</v>
      </c>
      <c r="E43" s="13"/>
      <c r="F43" s="12">
        <v>50</v>
      </c>
      <c r="G43" s="12">
        <v>0.6326000000000001</v>
      </c>
      <c r="H43" t="s" s="11">
        <v>341</v>
      </c>
      <c r="I43" s="13"/>
      <c r="J43" s="12">
        <v>0.8657</v>
      </c>
      <c r="K43" s="12">
        <v>0.9294</v>
      </c>
      <c r="L43" s="12">
        <v>0.3695</v>
      </c>
      <c r="M43" s="12">
        <v>0.6091</v>
      </c>
      <c r="N43" s="13"/>
      <c r="O43" s="13"/>
    </row>
    <row r="44" ht="32.05" customHeight="1">
      <c r="A44" t="s" s="9">
        <v>342</v>
      </c>
      <c r="B44" s="24">
        <v>18264</v>
      </c>
      <c r="C44" t="s" s="11">
        <v>239</v>
      </c>
      <c r="D44" t="s" s="11">
        <v>237</v>
      </c>
      <c r="E44" s="13"/>
      <c r="F44" s="12">
        <v>50</v>
      </c>
      <c r="G44" s="12">
        <v>0.6366000000000001</v>
      </c>
      <c r="H44" t="s" s="11">
        <v>343</v>
      </c>
      <c r="I44" s="13"/>
      <c r="J44" s="12">
        <v>0.8597</v>
      </c>
      <c r="K44" s="12">
        <v>0.9263</v>
      </c>
      <c r="L44" s="12">
        <v>0.3724</v>
      </c>
      <c r="M44" s="12">
        <v>0.613</v>
      </c>
      <c r="N44" s="13"/>
      <c r="O44" s="13"/>
    </row>
    <row r="45" ht="32.05" customHeight="1">
      <c r="A45" t="s" s="9">
        <v>334</v>
      </c>
      <c r="B45" s="24">
        <v>18264</v>
      </c>
      <c r="C45" t="s" s="11">
        <v>239</v>
      </c>
      <c r="D45" t="s" s="11">
        <v>245</v>
      </c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</row>
    <row r="46" ht="32.05" customHeight="1">
      <c r="A46" t="s" s="9">
        <v>336</v>
      </c>
      <c r="B46" s="24">
        <v>18264</v>
      </c>
      <c r="C46" t="s" s="11">
        <v>239</v>
      </c>
      <c r="D46" t="s" s="11">
        <v>245</v>
      </c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</row>
    <row r="47" ht="32.05" customHeight="1">
      <c r="A47" t="s" s="9">
        <v>338</v>
      </c>
      <c r="B47" s="24">
        <v>18264</v>
      </c>
      <c r="C47" t="s" s="11">
        <v>239</v>
      </c>
      <c r="D47" t="s" s="11">
        <v>245</v>
      </c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</row>
    <row r="48" ht="32.05" customHeight="1">
      <c r="A48" t="s" s="9">
        <v>340</v>
      </c>
      <c r="B48" s="24">
        <v>18264</v>
      </c>
      <c r="C48" t="s" s="11">
        <v>239</v>
      </c>
      <c r="D48" t="s" s="11">
        <v>245</v>
      </c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</row>
    <row r="49" ht="32.05" customHeight="1">
      <c r="A49" t="s" s="9">
        <v>342</v>
      </c>
      <c r="B49" s="24">
        <v>18264</v>
      </c>
      <c r="C49" t="s" s="11">
        <v>239</v>
      </c>
      <c r="D49" t="s" s="11">
        <v>245</v>
      </c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</row>
    <row r="50" ht="20.05" customHeight="1">
      <c r="A50" t="s" s="9">
        <v>320</v>
      </c>
      <c r="B50" s="17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</row>
    <row r="51" ht="32.05" customHeight="1">
      <c r="A51" t="s" s="9">
        <v>334</v>
      </c>
      <c r="B51" t="s" s="10">
        <v>243</v>
      </c>
      <c r="C51" t="s" s="11">
        <v>239</v>
      </c>
      <c r="D51" t="s" s="11">
        <v>237</v>
      </c>
      <c r="E51" s="13"/>
      <c r="F51" s="12">
        <v>92</v>
      </c>
      <c r="G51" s="12">
        <v>0.6195000000000001</v>
      </c>
      <c r="H51" t="s" s="11">
        <v>344</v>
      </c>
      <c r="I51" s="13"/>
      <c r="J51" s="12">
        <v>0.8679</v>
      </c>
      <c r="K51" s="12">
        <v>0.9307</v>
      </c>
      <c r="L51" s="12">
        <v>0.3761</v>
      </c>
      <c r="M51" s="12">
        <v>0.6161</v>
      </c>
      <c r="N51" s="13"/>
      <c r="O51" s="13"/>
    </row>
    <row r="52" ht="32.05" customHeight="1">
      <c r="A52" t="s" s="9">
        <v>336</v>
      </c>
      <c r="B52" t="s" s="10">
        <v>243</v>
      </c>
      <c r="C52" t="s" s="11">
        <v>239</v>
      </c>
      <c r="D52" t="s" s="11">
        <v>237</v>
      </c>
      <c r="E52" s="13"/>
      <c r="F52" s="12">
        <v>92</v>
      </c>
      <c r="G52" s="12">
        <v>0.617</v>
      </c>
      <c r="H52" t="s" s="11">
        <v>345</v>
      </c>
      <c r="I52" s="13"/>
      <c r="J52" s="12">
        <v>0.8701</v>
      </c>
      <c r="K52" s="12">
        <v>0.9318</v>
      </c>
      <c r="L52" s="12">
        <v>0.38</v>
      </c>
      <c r="M52" s="12">
        <v>0.6191</v>
      </c>
      <c r="N52" s="13"/>
      <c r="O52" s="13"/>
    </row>
    <row r="53" ht="32.05" customHeight="1">
      <c r="A53" t="s" s="9">
        <v>338</v>
      </c>
      <c r="B53" t="s" s="10">
        <v>243</v>
      </c>
      <c r="C53" t="s" s="11">
        <v>239</v>
      </c>
      <c r="D53" t="s" s="11">
        <v>237</v>
      </c>
      <c r="E53" s="13"/>
      <c r="F53" s="12">
        <v>71</v>
      </c>
      <c r="G53" s="12">
        <v>0.6136</v>
      </c>
      <c r="H53" t="s" s="11">
        <v>346</v>
      </c>
      <c r="I53" s="13"/>
      <c r="J53" s="12">
        <v>0.8621</v>
      </c>
      <c r="K53" s="12">
        <v>0.9276</v>
      </c>
      <c r="L53" s="12">
        <v>0.3876</v>
      </c>
      <c r="M53" s="12">
        <v>0.6266</v>
      </c>
      <c r="N53" s="13"/>
      <c r="O53" s="13"/>
    </row>
    <row r="54" ht="32.05" customHeight="1">
      <c r="A54" t="s" s="9">
        <v>340</v>
      </c>
      <c r="B54" t="s" s="10">
        <v>243</v>
      </c>
      <c r="C54" t="s" s="11">
        <v>239</v>
      </c>
      <c r="D54" t="s" s="11">
        <v>237</v>
      </c>
      <c r="E54" s="13"/>
      <c r="F54" s="12">
        <v>92</v>
      </c>
      <c r="G54" s="12">
        <v>0.6137</v>
      </c>
      <c r="H54" t="s" s="11">
        <v>347</v>
      </c>
      <c r="I54" s="13"/>
      <c r="J54" s="12">
        <v>0.8678</v>
      </c>
      <c r="K54" s="12">
        <v>0.9305</v>
      </c>
      <c r="L54" s="12">
        <v>0.3792</v>
      </c>
      <c r="M54" s="12">
        <v>0.6176</v>
      </c>
      <c r="N54" s="13"/>
      <c r="O54" s="13"/>
    </row>
    <row r="55" ht="32.05" customHeight="1">
      <c r="A55" t="s" s="9">
        <v>342</v>
      </c>
      <c r="B55" t="s" s="10">
        <v>243</v>
      </c>
      <c r="C55" t="s" s="11">
        <v>239</v>
      </c>
      <c r="D55" t="s" s="11">
        <v>237</v>
      </c>
      <c r="E55" s="13"/>
      <c r="F55" s="12">
        <v>100</v>
      </c>
      <c r="G55" s="12">
        <v>0.6168</v>
      </c>
      <c r="H55" t="s" s="11">
        <v>348</v>
      </c>
      <c r="I55" s="13"/>
      <c r="J55" s="12">
        <v>0.8616</v>
      </c>
      <c r="K55" s="12">
        <v>0.9274</v>
      </c>
      <c r="L55" s="12">
        <v>0.3809</v>
      </c>
      <c r="M55" s="12">
        <v>0.6203</v>
      </c>
      <c r="N55" s="13"/>
      <c r="O55" s="13"/>
    </row>
    <row r="56" ht="32.05" customHeight="1">
      <c r="A56" t="s" s="9">
        <v>334</v>
      </c>
      <c r="B56" t="s" s="10">
        <v>243</v>
      </c>
      <c r="C56" t="s" s="11">
        <v>239</v>
      </c>
      <c r="D56" t="s" s="11">
        <v>245</v>
      </c>
      <c r="E56" s="13"/>
      <c r="F56" s="12">
        <v>92</v>
      </c>
      <c r="G56" s="13"/>
      <c r="H56" t="s" s="11">
        <v>349</v>
      </c>
      <c r="I56" s="13"/>
      <c r="J56" s="12">
        <v>0.8708</v>
      </c>
      <c r="K56" s="12">
        <v>0.9323</v>
      </c>
      <c r="L56" s="12">
        <v>0.375</v>
      </c>
      <c r="M56" s="12">
        <v>0.616</v>
      </c>
      <c r="N56" s="13"/>
      <c r="O56" s="13"/>
    </row>
    <row r="57" ht="32.05" customHeight="1">
      <c r="A57" t="s" s="9">
        <v>336</v>
      </c>
      <c r="B57" t="s" s="10">
        <v>243</v>
      </c>
      <c r="C57" t="s" s="11">
        <v>239</v>
      </c>
      <c r="D57" t="s" s="11">
        <v>245</v>
      </c>
      <c r="E57" s="13"/>
      <c r="F57" s="12">
        <v>92</v>
      </c>
      <c r="G57" s="13"/>
      <c r="H57" t="s" s="11">
        <v>350</v>
      </c>
      <c r="I57" s="13"/>
      <c r="J57" s="12">
        <v>0.8659</v>
      </c>
      <c r="K57" s="12">
        <v>0.9296</v>
      </c>
      <c r="L57" s="12">
        <v>0.3783</v>
      </c>
      <c r="M57" s="12">
        <v>0.619</v>
      </c>
      <c r="N57" s="13"/>
      <c r="O57" s="13"/>
    </row>
    <row r="58" ht="32.05" customHeight="1">
      <c r="A58" t="s" s="9">
        <v>338</v>
      </c>
      <c r="B58" t="s" s="10">
        <v>243</v>
      </c>
      <c r="C58" t="s" s="11">
        <v>239</v>
      </c>
      <c r="D58" t="s" s="11">
        <v>245</v>
      </c>
      <c r="E58" s="13"/>
      <c r="F58" s="12">
        <v>71</v>
      </c>
      <c r="G58" s="13"/>
      <c r="H58" t="s" s="11">
        <v>351</v>
      </c>
      <c r="I58" s="13"/>
      <c r="J58" s="12">
        <v>0.8718</v>
      </c>
      <c r="K58" s="12">
        <v>0.9328</v>
      </c>
      <c r="L58" s="12">
        <v>0.382</v>
      </c>
      <c r="M58" s="12">
        <v>0.6206</v>
      </c>
      <c r="N58" s="13"/>
      <c r="O58" s="13"/>
    </row>
    <row r="59" ht="32.05" customHeight="1">
      <c r="A59" t="s" s="9">
        <v>340</v>
      </c>
      <c r="B59" t="s" s="10">
        <v>243</v>
      </c>
      <c r="C59" t="s" s="11">
        <v>239</v>
      </c>
      <c r="D59" t="s" s="11">
        <v>245</v>
      </c>
      <c r="E59" s="13"/>
      <c r="F59" s="12">
        <v>92</v>
      </c>
      <c r="G59" s="13"/>
      <c r="H59" t="s" s="11">
        <v>352</v>
      </c>
      <c r="I59" s="13"/>
      <c r="J59" s="12">
        <v>0.8689</v>
      </c>
      <c r="K59" s="12">
        <v>0.931</v>
      </c>
      <c r="L59" s="12">
        <v>0.3783</v>
      </c>
      <c r="M59" s="12">
        <v>0.6172</v>
      </c>
      <c r="N59" s="13"/>
      <c r="O59" s="13"/>
    </row>
    <row r="60" ht="32.05" customHeight="1">
      <c r="A60" t="s" s="9">
        <v>342</v>
      </c>
      <c r="B60" t="s" s="10">
        <v>243</v>
      </c>
      <c r="C60" t="s" s="11">
        <v>239</v>
      </c>
      <c r="D60" t="s" s="11">
        <v>245</v>
      </c>
      <c r="E60" s="13"/>
      <c r="F60" s="12">
        <v>100</v>
      </c>
      <c r="G60" s="13"/>
      <c r="H60" t="s" s="11">
        <v>353</v>
      </c>
      <c r="I60" s="13"/>
      <c r="J60" s="12">
        <v>0.8697</v>
      </c>
      <c r="K60" s="12">
        <v>0.9316</v>
      </c>
      <c r="L60" s="12">
        <v>0.3797</v>
      </c>
      <c r="M60" s="12">
        <v>0.6183999999999999</v>
      </c>
      <c r="N60" s="13"/>
      <c r="O60" s="13"/>
    </row>
    <row r="61" ht="20.05" customHeight="1">
      <c r="A61" t="s" s="9">
        <v>354</v>
      </c>
      <c r="B61" s="17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</row>
    <row r="62" ht="32.05" customHeight="1">
      <c r="A62" t="s" s="9">
        <v>334</v>
      </c>
      <c r="B62" t="s" s="10">
        <v>355</v>
      </c>
      <c r="C62" t="s" s="11">
        <v>239</v>
      </c>
      <c r="D62" t="s" s="11">
        <v>237</v>
      </c>
      <c r="E62" s="13"/>
      <c r="F62" s="12">
        <v>142</v>
      </c>
      <c r="G62" s="12">
        <v>0.6065</v>
      </c>
      <c r="H62" t="s" s="11">
        <v>356</v>
      </c>
      <c r="I62" s="13"/>
      <c r="J62" s="12">
        <v>0.869</v>
      </c>
      <c r="K62" s="12">
        <v>0.9313</v>
      </c>
      <c r="L62" s="12">
        <v>0.3812</v>
      </c>
      <c r="M62" s="12">
        <v>0.6204</v>
      </c>
      <c r="N62" s="13"/>
      <c r="O62" s="13"/>
    </row>
    <row r="63" ht="32.05" customHeight="1">
      <c r="A63" t="s" s="9">
        <v>336</v>
      </c>
      <c r="B63" t="s" s="10">
        <v>355</v>
      </c>
      <c r="C63" t="s" s="11">
        <v>239</v>
      </c>
      <c r="D63" t="s" s="11">
        <v>237</v>
      </c>
      <c r="E63" s="13"/>
      <c r="F63" s="12">
        <v>142</v>
      </c>
      <c r="G63" s="12">
        <v>0.604</v>
      </c>
      <c r="H63" t="s" s="11">
        <v>357</v>
      </c>
      <c r="I63" s="13"/>
      <c r="J63" s="12">
        <v>0.8711</v>
      </c>
      <c r="K63" s="12">
        <v>0.9324</v>
      </c>
      <c r="L63" s="12">
        <v>0.3848</v>
      </c>
      <c r="M63" s="12">
        <v>0.6234</v>
      </c>
      <c r="N63" s="13"/>
      <c r="O63" s="13"/>
    </row>
    <row r="64" ht="32.05" customHeight="1">
      <c r="A64" t="s" s="9">
        <v>338</v>
      </c>
      <c r="B64" t="s" s="10">
        <v>355</v>
      </c>
      <c r="C64" t="s" s="11">
        <v>239</v>
      </c>
      <c r="D64" t="s" s="11">
        <v>237</v>
      </c>
      <c r="E64" s="13"/>
      <c r="F64" s="12">
        <v>71</v>
      </c>
      <c r="G64" s="12">
        <v>0.6136</v>
      </c>
      <c r="H64" t="s" s="11">
        <v>346</v>
      </c>
      <c r="I64" s="13"/>
      <c r="J64" s="12">
        <v>0.8621</v>
      </c>
      <c r="K64" s="12">
        <v>0.9276</v>
      </c>
      <c r="L64" s="12">
        <v>0.3876</v>
      </c>
      <c r="M64" s="12">
        <v>0.6266</v>
      </c>
      <c r="N64" s="13"/>
      <c r="O64" s="13"/>
    </row>
    <row r="65" ht="32.05" customHeight="1">
      <c r="A65" t="s" s="9">
        <v>340</v>
      </c>
      <c r="B65" t="s" s="10">
        <v>355</v>
      </c>
      <c r="C65" t="s" s="11">
        <v>239</v>
      </c>
      <c r="D65" t="s" s="11">
        <v>237</v>
      </c>
      <c r="E65" s="13"/>
      <c r="F65" s="12">
        <v>142</v>
      </c>
      <c r="G65" s="12">
        <v>0.6021</v>
      </c>
      <c r="H65" t="s" s="11">
        <v>358</v>
      </c>
      <c r="I65" s="13"/>
      <c r="J65" s="12">
        <v>0.8685</v>
      </c>
      <c r="K65" s="12">
        <v>0.931</v>
      </c>
      <c r="L65" s="12">
        <v>0.3833</v>
      </c>
      <c r="M65" s="12">
        <v>0.6213</v>
      </c>
      <c r="N65" s="13"/>
      <c r="O65" s="13"/>
    </row>
    <row r="66" ht="32.05" customHeight="1">
      <c r="A66" t="s" s="9">
        <v>342</v>
      </c>
      <c r="B66" t="s" s="10">
        <v>355</v>
      </c>
      <c r="C66" t="s" s="11">
        <v>239</v>
      </c>
      <c r="D66" t="s" s="11">
        <v>237</v>
      </c>
      <c r="E66" s="13"/>
      <c r="F66" s="12">
        <v>150</v>
      </c>
      <c r="G66" s="12">
        <v>0.6057</v>
      </c>
      <c r="H66" t="s" s="11">
        <v>359</v>
      </c>
      <c r="I66" s="13"/>
      <c r="J66" s="12">
        <v>0.8618</v>
      </c>
      <c r="K66" s="12">
        <v>0.9275</v>
      </c>
      <c r="L66" s="12">
        <v>0.3817</v>
      </c>
      <c r="M66" s="12">
        <v>0.6218</v>
      </c>
      <c r="N66" s="13"/>
      <c r="O66" s="13"/>
    </row>
    <row r="67" ht="32.05" customHeight="1">
      <c r="A67" t="s" s="9">
        <v>334</v>
      </c>
      <c r="B67" t="s" s="10">
        <v>355</v>
      </c>
      <c r="C67" t="s" s="11">
        <v>239</v>
      </c>
      <c r="D67" t="s" s="11">
        <v>245</v>
      </c>
      <c r="E67" s="13"/>
      <c r="F67" s="12">
        <v>142</v>
      </c>
      <c r="G67" s="13"/>
      <c r="H67" t="s" s="11">
        <v>360</v>
      </c>
      <c r="I67" s="12">
        <v>0.7915</v>
      </c>
      <c r="J67" s="12">
        <v>0.8718</v>
      </c>
      <c r="K67" s="12">
        <v>0.9328</v>
      </c>
      <c r="L67" s="12">
        <v>0.3802</v>
      </c>
      <c r="M67" s="12">
        <v>0.6203</v>
      </c>
      <c r="N67" s="13"/>
      <c r="O67" s="13"/>
    </row>
    <row r="68" ht="32.05" customHeight="1">
      <c r="A68" t="s" s="9">
        <v>336</v>
      </c>
      <c r="B68" t="s" s="10">
        <v>355</v>
      </c>
      <c r="C68" t="s" s="11">
        <v>239</v>
      </c>
      <c r="D68" t="s" s="11">
        <v>245</v>
      </c>
      <c r="E68" s="13"/>
      <c r="F68" s="12">
        <v>142</v>
      </c>
      <c r="G68" s="13"/>
      <c r="H68" t="s" s="11">
        <v>361</v>
      </c>
      <c r="I68" s="12">
        <v>0.8206</v>
      </c>
      <c r="J68" s="12">
        <v>0.8668</v>
      </c>
      <c r="K68" s="12">
        <v>0.9301</v>
      </c>
      <c r="L68" s="12">
        <v>0.3827</v>
      </c>
      <c r="M68" s="12">
        <v>0.623</v>
      </c>
      <c r="N68" s="13"/>
      <c r="O68" s="13"/>
    </row>
    <row r="69" ht="32.05" customHeight="1">
      <c r="A69" t="s" s="9">
        <v>338</v>
      </c>
      <c r="B69" t="s" s="10">
        <v>355</v>
      </c>
      <c r="C69" t="s" s="11">
        <v>239</v>
      </c>
      <c r="D69" t="s" s="11">
        <v>245</v>
      </c>
      <c r="E69" s="13"/>
      <c r="F69" s="12">
        <v>71</v>
      </c>
      <c r="G69" s="13"/>
      <c r="H69" t="s" s="11">
        <v>351</v>
      </c>
      <c r="I69" s="12">
        <v>0.7936</v>
      </c>
      <c r="J69" s="12">
        <v>0.8718</v>
      </c>
      <c r="K69" s="12">
        <v>0.9382</v>
      </c>
      <c r="L69" s="12">
        <v>0.382</v>
      </c>
      <c r="M69" s="12">
        <v>0.6206</v>
      </c>
      <c r="N69" s="13"/>
      <c r="O69" t="s" s="11">
        <v>362</v>
      </c>
    </row>
    <row r="70" ht="32.05" customHeight="1">
      <c r="A70" t="s" s="9">
        <v>340</v>
      </c>
      <c r="B70" t="s" s="10">
        <v>355</v>
      </c>
      <c r="C70" t="s" s="11">
        <v>239</v>
      </c>
      <c r="D70" t="s" s="11">
        <v>245</v>
      </c>
      <c r="E70" s="13"/>
      <c r="F70" s="12">
        <v>142</v>
      </c>
      <c r="G70" s="13"/>
      <c r="H70" t="s" s="11">
        <v>363</v>
      </c>
      <c r="I70" s="12">
        <v>0.8108</v>
      </c>
      <c r="J70" s="12">
        <v>0.8696</v>
      </c>
      <c r="K70" s="12">
        <v>0.9315</v>
      </c>
      <c r="L70" s="12">
        <v>0.3817</v>
      </c>
      <c r="M70" s="12">
        <v>0.6207</v>
      </c>
      <c r="N70" s="13"/>
      <c r="O70" s="13"/>
    </row>
    <row r="71" ht="32.05" customHeight="1">
      <c r="A71" t="s" s="9">
        <v>342</v>
      </c>
      <c r="B71" t="s" s="10">
        <v>355</v>
      </c>
      <c r="C71" t="s" s="11">
        <v>239</v>
      </c>
      <c r="D71" t="s" s="11">
        <v>245</v>
      </c>
      <c r="E71" s="13"/>
      <c r="F71" s="12">
        <v>150</v>
      </c>
      <c r="G71" s="13"/>
      <c r="H71" t="s" s="11">
        <v>364</v>
      </c>
      <c r="I71" s="12">
        <v>0.8033</v>
      </c>
      <c r="J71" s="12">
        <v>0.8702</v>
      </c>
      <c r="K71" s="12">
        <v>0.9320000000000001</v>
      </c>
      <c r="L71" s="12">
        <v>0.3814</v>
      </c>
      <c r="M71" s="12">
        <v>0.621</v>
      </c>
      <c r="N71" s="13"/>
      <c r="O71" s="13"/>
    </row>
    <row r="72" ht="32.05" customHeight="1">
      <c r="A72" t="s" s="9">
        <v>331</v>
      </c>
      <c r="B72" t="s" s="10">
        <v>355</v>
      </c>
      <c r="C72" t="s" s="11">
        <v>239</v>
      </c>
      <c r="D72" t="s" s="11">
        <v>245</v>
      </c>
      <c r="E72" s="13"/>
      <c r="F72" s="13"/>
      <c r="G72" s="13"/>
      <c r="H72" s="13"/>
      <c r="I72" s="12" cm="1">
        <f t="array" ref="I72">AVERAGE(I67:I71)</f>
        <v>0.80396</v>
      </c>
      <c r="J72" s="12" cm="1">
        <f t="array" ref="J72">AVERAGE(J67:J71)</f>
        <v>0.87004</v>
      </c>
      <c r="K72" s="12" cm="1">
        <f t="array" ref="K72">AVERAGE(K67:K71)</f>
        <v>0.93292</v>
      </c>
      <c r="L72" s="12" cm="1">
        <f t="array" ref="L72">AVERAGE(L67:L71)</f>
        <v>0.3816</v>
      </c>
      <c r="M72" s="12" cm="1">
        <f t="array" ref="M72">AVERAGE(M67:M71)</f>
        <v>0.62112</v>
      </c>
      <c r="N72" s="13"/>
      <c r="O72" s="13"/>
    </row>
    <row r="73" ht="32.05" customHeight="1">
      <c r="A73" t="s" s="9">
        <v>332</v>
      </c>
      <c r="B73" t="s" s="10">
        <v>355</v>
      </c>
      <c r="C73" t="s" s="11">
        <v>239</v>
      </c>
      <c r="D73" t="s" s="11">
        <v>245</v>
      </c>
      <c r="E73" s="13"/>
      <c r="F73" s="13"/>
      <c r="G73" s="13"/>
      <c r="H73" s="13"/>
      <c r="I73" s="12" cm="1">
        <f t="array" ref="I73">STDEV(I67:I71)</f>
        <v>0.0121108628924615</v>
      </c>
      <c r="J73" s="12" cm="1">
        <f t="array" ref="J73">STDEV(J67:J71)</f>
        <v>0.00205621010599598</v>
      </c>
      <c r="K73" s="12" cm="1">
        <f t="array" ref="K73">STDEV(K67:K71)</f>
        <v>0.00311078768160092</v>
      </c>
      <c r="L73" s="12" cm="1">
        <f t="array" ref="L73">STDEV(L67:L71)</f>
        <v>0.000919238815542512</v>
      </c>
      <c r="M73" s="12" cm="1">
        <f t="array" ref="M73">STDEV(M67:M71)</f>
        <v>0.00108027774206451</v>
      </c>
      <c r="N73" s="13"/>
      <c r="O73" s="13"/>
    </row>
    <row r="74" ht="20.05" customHeight="1">
      <c r="A74" t="s" s="9">
        <v>365</v>
      </c>
      <c r="B74" s="17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</row>
    <row r="75" ht="32.05" customHeight="1">
      <c r="A75" t="s" s="9">
        <v>334</v>
      </c>
      <c r="B75" t="s" s="10">
        <v>366</v>
      </c>
      <c r="C75" t="s" s="11">
        <v>239</v>
      </c>
      <c r="D75" t="s" s="11">
        <v>237</v>
      </c>
      <c r="E75" s="13"/>
      <c r="F75" s="12">
        <v>182</v>
      </c>
      <c r="G75" s="12">
        <v>0.5997</v>
      </c>
      <c r="H75" t="s" s="11">
        <v>367</v>
      </c>
      <c r="I75" s="13"/>
      <c r="J75" s="12">
        <v>0.8695000000000001</v>
      </c>
      <c r="K75" s="12">
        <v>0.9315</v>
      </c>
      <c r="L75" s="12">
        <v>0.3841</v>
      </c>
      <c r="M75" s="12">
        <v>0.6225000000000001</v>
      </c>
      <c r="N75" s="13"/>
      <c r="O75" s="13"/>
    </row>
    <row r="76" ht="32.05" customHeight="1">
      <c r="A76" t="s" s="9">
        <v>336</v>
      </c>
      <c r="B76" t="s" s="10">
        <v>366</v>
      </c>
      <c r="C76" t="s" s="11">
        <v>239</v>
      </c>
      <c r="D76" t="s" s="11">
        <v>237</v>
      </c>
      <c r="E76" s="13"/>
      <c r="F76" s="12">
        <v>192</v>
      </c>
      <c r="G76" s="12">
        <v>0.5961</v>
      </c>
      <c r="H76" t="s" s="11">
        <v>368</v>
      </c>
      <c r="I76" s="13"/>
      <c r="J76" s="12">
        <v>0.8718</v>
      </c>
      <c r="K76" s="12">
        <v>0.9327</v>
      </c>
      <c r="L76" s="12">
        <v>0.3877</v>
      </c>
      <c r="M76" s="12">
        <v>0.6261</v>
      </c>
      <c r="N76" s="13"/>
      <c r="O76" s="13"/>
    </row>
    <row r="77" ht="32.05" customHeight="1">
      <c r="A77" t="s" s="9">
        <v>338</v>
      </c>
      <c r="B77" t="s" s="10">
        <v>366</v>
      </c>
      <c r="C77" t="s" s="11">
        <v>239</v>
      </c>
      <c r="D77" t="s" s="11">
        <v>237</v>
      </c>
      <c r="E77" s="13"/>
      <c r="F77" s="12">
        <v>71</v>
      </c>
      <c r="G77" s="12">
        <v>0.6136</v>
      </c>
      <c r="H77" t="s" s="11">
        <v>346</v>
      </c>
      <c r="I77" s="13"/>
      <c r="J77" s="12">
        <v>0.8621</v>
      </c>
      <c r="K77" s="12">
        <v>0.9276</v>
      </c>
      <c r="L77" s="12">
        <v>0.3876</v>
      </c>
      <c r="M77" s="12">
        <v>0.6266</v>
      </c>
      <c r="N77" s="13"/>
      <c r="O77" s="13"/>
    </row>
    <row r="78" ht="32.05" customHeight="1">
      <c r="A78" t="s" s="9">
        <v>340</v>
      </c>
      <c r="B78" t="s" s="10">
        <v>366</v>
      </c>
      <c r="C78" t="s" s="11">
        <v>239</v>
      </c>
      <c r="D78" t="s" s="11">
        <v>237</v>
      </c>
      <c r="E78" s="13"/>
      <c r="F78" s="12">
        <v>192</v>
      </c>
      <c r="G78" s="12">
        <v>0.5945</v>
      </c>
      <c r="H78" t="s" s="11">
        <v>369</v>
      </c>
      <c r="I78" s="13"/>
      <c r="J78" s="12">
        <v>0.8691</v>
      </c>
      <c r="K78" s="12">
        <v>0.9313</v>
      </c>
      <c r="L78" s="12">
        <v>0.386</v>
      </c>
      <c r="M78" s="12">
        <v>0.6237</v>
      </c>
      <c r="N78" s="13"/>
      <c r="O78" s="13"/>
    </row>
    <row r="79" ht="32.05" customHeight="1">
      <c r="A79" t="s" s="9">
        <v>342</v>
      </c>
      <c r="B79" t="s" s="10">
        <v>366</v>
      </c>
      <c r="C79" t="s" s="11">
        <v>239</v>
      </c>
      <c r="D79" t="s" s="11">
        <v>237</v>
      </c>
      <c r="E79" s="13"/>
      <c r="F79" s="12">
        <v>192</v>
      </c>
      <c r="G79" s="12">
        <v>0.5964</v>
      </c>
      <c r="H79" t="s" s="11">
        <v>370</v>
      </c>
      <c r="I79" s="13"/>
      <c r="J79" s="12">
        <v>0.8629</v>
      </c>
      <c r="K79" s="12">
        <v>0.9281</v>
      </c>
      <c r="L79" s="12">
        <v>0.3871</v>
      </c>
      <c r="M79" s="12">
        <v>0.6258</v>
      </c>
      <c r="N79" s="13"/>
      <c r="O79" s="13"/>
    </row>
    <row r="80" ht="32.05" customHeight="1">
      <c r="A80" t="s" s="9">
        <v>334</v>
      </c>
      <c r="B80" t="s" s="10">
        <v>366</v>
      </c>
      <c r="C80" t="s" s="11">
        <v>239</v>
      </c>
      <c r="D80" t="s" s="11">
        <v>245</v>
      </c>
      <c r="E80" s="13"/>
      <c r="F80" s="13"/>
      <c r="G80" s="13"/>
      <c r="H80" t="s" s="11">
        <v>371</v>
      </c>
      <c r="I80" s="12">
        <v>0.7882</v>
      </c>
      <c r="J80" s="12">
        <v>0.8724</v>
      </c>
      <c r="K80" s="12">
        <v>0.9331</v>
      </c>
      <c r="L80" s="12">
        <v>0.3834</v>
      </c>
      <c r="M80" s="12">
        <v>0.6227</v>
      </c>
      <c r="N80" s="13"/>
      <c r="O80" s="13"/>
    </row>
    <row r="81" ht="32.05" customHeight="1">
      <c r="A81" t="s" s="9">
        <v>336</v>
      </c>
      <c r="B81" t="s" s="10">
        <v>366</v>
      </c>
      <c r="C81" t="s" s="11">
        <v>239</v>
      </c>
      <c r="D81" t="s" s="11">
        <v>245</v>
      </c>
      <c r="E81" s="13"/>
      <c r="F81" s="13"/>
      <c r="G81" s="13"/>
      <c r="H81" s="12">
        <v>0.6288</v>
      </c>
      <c r="I81" s="12">
        <v>0.8165</v>
      </c>
      <c r="J81" s="12">
        <v>0.8675</v>
      </c>
      <c r="K81" s="12">
        <v>0.9305</v>
      </c>
      <c r="L81" s="12">
        <v>0.3856</v>
      </c>
      <c r="M81" s="12">
        <v>0.6257</v>
      </c>
      <c r="N81" s="13"/>
      <c r="O81" s="13"/>
    </row>
    <row r="82" ht="32.05" customHeight="1">
      <c r="A82" t="s" s="9">
        <v>338</v>
      </c>
      <c r="B82" t="s" s="10">
        <v>366</v>
      </c>
      <c r="C82" t="s" s="11">
        <v>239</v>
      </c>
      <c r="D82" t="s" s="11">
        <v>245</v>
      </c>
      <c r="E82" s="13"/>
      <c r="F82" s="12">
        <v>71</v>
      </c>
      <c r="G82" s="13"/>
      <c r="H82" t="s" s="11">
        <v>351</v>
      </c>
      <c r="I82" s="12">
        <v>0.7936</v>
      </c>
      <c r="J82" s="12">
        <v>0.8718</v>
      </c>
      <c r="K82" s="12">
        <v>0.9382</v>
      </c>
      <c r="L82" s="12">
        <v>0.382</v>
      </c>
      <c r="M82" s="12">
        <v>0.6206</v>
      </c>
      <c r="N82" s="13"/>
      <c r="O82" s="13"/>
    </row>
    <row r="83" ht="32.05" customHeight="1">
      <c r="A83" t="s" s="9">
        <v>340</v>
      </c>
      <c r="B83" t="s" s="10">
        <v>366</v>
      </c>
      <c r="C83" t="s" s="11">
        <v>239</v>
      </c>
      <c r="D83" t="s" s="11">
        <v>245</v>
      </c>
      <c r="E83" s="13"/>
      <c r="F83" s="13"/>
      <c r="G83" s="13"/>
      <c r="H83" s="12">
        <v>0.6208</v>
      </c>
      <c r="I83" s="12">
        <v>0.8077</v>
      </c>
      <c r="J83" s="12">
        <v>0.8701</v>
      </c>
      <c r="K83" s="12">
        <v>0.9318</v>
      </c>
      <c r="L83" s="12">
        <v>0.3841</v>
      </c>
      <c r="M83" s="12">
        <v>0.623</v>
      </c>
      <c r="N83" s="13"/>
      <c r="O83" s="13"/>
    </row>
    <row r="84" ht="32.05" customHeight="1">
      <c r="A84" t="s" s="9">
        <v>342</v>
      </c>
      <c r="B84" t="s" s="10">
        <v>366</v>
      </c>
      <c r="C84" t="s" s="11">
        <v>239</v>
      </c>
      <c r="D84" t="s" s="11">
        <v>245</v>
      </c>
      <c r="E84" s="13"/>
      <c r="F84" s="13"/>
      <c r="G84" s="13"/>
      <c r="H84" s="12">
        <v>0.6115</v>
      </c>
      <c r="I84" s="12">
        <v>0.7989000000000001</v>
      </c>
      <c r="J84" s="12">
        <v>0.871</v>
      </c>
      <c r="K84" s="12">
        <v>0.9324</v>
      </c>
      <c r="L84" s="12">
        <v>0.3865</v>
      </c>
      <c r="M84" s="12">
        <v>0.6247</v>
      </c>
      <c r="N84" s="13"/>
      <c r="O84" s="13"/>
    </row>
    <row r="85" ht="32.05" customHeight="1">
      <c r="A85" t="s" s="9">
        <v>331</v>
      </c>
      <c r="B85" t="s" s="10">
        <v>366</v>
      </c>
      <c r="C85" t="s" s="11">
        <v>239</v>
      </c>
      <c r="D85" t="s" s="11">
        <v>245</v>
      </c>
      <c r="E85" s="13"/>
      <c r="F85" s="13"/>
      <c r="G85" s="13"/>
      <c r="H85" s="13"/>
      <c r="I85" s="12" cm="1">
        <f t="array" ref="I85">AVERAGE(I80:I84)</f>
        <v>0.80098</v>
      </c>
      <c r="J85" s="12" cm="1">
        <f t="array" ref="J85">AVERAGE(J80:J84)</f>
        <v>0.87056</v>
      </c>
      <c r="K85" s="12" cm="1">
        <f t="array" ref="K85">AVERAGE(K80:K84)</f>
        <v>0.9332</v>
      </c>
      <c r="L85" s="12" cm="1">
        <f t="array" ref="L85">AVERAGE(L80:L84)</f>
        <v>0.38432</v>
      </c>
      <c r="M85" s="12" cm="1">
        <f t="array" ref="M85">AVERAGE(M80:M84)</f>
        <v>0.62334</v>
      </c>
      <c r="N85" s="13"/>
      <c r="O85" s="13"/>
    </row>
    <row r="86" ht="32.05" customHeight="1">
      <c r="A86" t="s" s="9">
        <v>332</v>
      </c>
      <c r="B86" t="s" s="10">
        <v>366</v>
      </c>
      <c r="C86" t="s" s="11">
        <v>239</v>
      </c>
      <c r="D86" t="s" s="11">
        <v>245</v>
      </c>
      <c r="E86" s="13"/>
      <c r="F86" s="13"/>
      <c r="G86" s="13"/>
      <c r="H86" s="13"/>
      <c r="I86" s="12" cm="1">
        <f t="array" ref="I86">STDEV(I80:I84)</f>
        <v>0.0112710691595784</v>
      </c>
      <c r="J86" s="12" cm="1">
        <f t="array" ref="J86">STDEV(J80:J84)</f>
        <v>0.0019165072397463</v>
      </c>
      <c r="K86" s="12" cm="1">
        <f t="array" ref="K86">STDEV(K80:K84)</f>
        <v>0.00295381109754839</v>
      </c>
      <c r="L86" s="12" cm="1">
        <f t="array" ref="L86">STDEV(L80:L84)</f>
        <v>0.00177960669812181</v>
      </c>
      <c r="M86" s="12" cm="1">
        <f t="array" ref="M86">STDEV(M80:M84)</f>
        <v>0.00196545160204977</v>
      </c>
      <c r="N86" s="13"/>
      <c r="O86" s="13"/>
    </row>
    <row r="87" ht="20.05" customHeight="1">
      <c r="A87" s="16"/>
      <c r="B87" s="17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</row>
    <row r="88" ht="20.05" customHeight="1">
      <c r="A88" t="s" s="9">
        <v>372</v>
      </c>
      <c r="B88" s="17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</row>
    <row r="89" ht="20.05" customHeight="1">
      <c r="A89" t="s" s="9">
        <v>308</v>
      </c>
      <c r="B89" s="17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</row>
    <row r="90" ht="32.05" customHeight="1">
      <c r="A90" t="s" s="9">
        <v>373</v>
      </c>
      <c r="B90" s="24">
        <v>18264</v>
      </c>
      <c r="C90" t="s" s="11">
        <v>239</v>
      </c>
      <c r="D90" t="s" s="11">
        <v>237</v>
      </c>
      <c r="E90" s="13"/>
      <c r="F90" s="12">
        <v>50</v>
      </c>
      <c r="G90" s="12">
        <v>0.6318</v>
      </c>
      <c r="H90" t="s" s="11">
        <v>374</v>
      </c>
      <c r="I90" s="13"/>
      <c r="J90" s="12">
        <v>0.8699</v>
      </c>
      <c r="K90" s="12">
        <v>0.9318</v>
      </c>
      <c r="L90" s="12">
        <v>0.3896</v>
      </c>
      <c r="M90" s="12">
        <v>0.6246</v>
      </c>
      <c r="N90" s="13"/>
      <c r="O90" s="13"/>
    </row>
    <row r="91" ht="32.05" customHeight="1">
      <c r="A91" t="s" s="9">
        <v>375</v>
      </c>
      <c r="B91" s="24">
        <v>18264</v>
      </c>
      <c r="C91" t="s" s="11">
        <v>239</v>
      </c>
      <c r="D91" t="s" s="11">
        <v>237</v>
      </c>
      <c r="E91" s="13"/>
      <c r="F91" s="12">
        <v>50</v>
      </c>
      <c r="G91" s="12">
        <v>0.6284</v>
      </c>
      <c r="H91" t="s" s="11">
        <v>376</v>
      </c>
      <c r="I91" s="13"/>
      <c r="J91" s="12">
        <v>0.8697</v>
      </c>
      <c r="K91" s="12">
        <v>0.9316</v>
      </c>
      <c r="L91" s="12">
        <v>0.389</v>
      </c>
      <c r="M91" s="12">
        <v>0.625</v>
      </c>
      <c r="N91" s="13"/>
      <c r="O91" s="13"/>
    </row>
    <row r="92" ht="32.05" customHeight="1">
      <c r="A92" t="s" s="9">
        <v>377</v>
      </c>
      <c r="B92" s="24">
        <v>18264</v>
      </c>
      <c r="C92" t="s" s="11">
        <v>239</v>
      </c>
      <c r="D92" t="s" s="11">
        <v>237</v>
      </c>
      <c r="E92" s="13"/>
      <c r="F92" s="12">
        <v>50</v>
      </c>
      <c r="G92" s="12">
        <v>0.6261</v>
      </c>
      <c r="H92" t="s" s="11">
        <v>378</v>
      </c>
      <c r="I92" s="13"/>
      <c r="J92" s="12">
        <v>0.8707</v>
      </c>
      <c r="K92" s="12">
        <v>0.9322</v>
      </c>
      <c r="L92" s="12">
        <v>0.3924</v>
      </c>
      <c r="M92" s="12">
        <v>0.6269</v>
      </c>
      <c r="N92" s="13"/>
      <c r="O92" s="13"/>
    </row>
    <row r="93" ht="32.05" customHeight="1">
      <c r="A93" t="s" s="9">
        <v>379</v>
      </c>
      <c r="B93" s="24">
        <v>18264</v>
      </c>
      <c r="C93" t="s" s="11">
        <v>239</v>
      </c>
      <c r="D93" t="s" s="11">
        <v>237</v>
      </c>
      <c r="E93" s="13"/>
      <c r="F93" s="12">
        <v>50</v>
      </c>
      <c r="G93" s="12">
        <v>0.6334</v>
      </c>
      <c r="H93" t="s" s="11">
        <v>380</v>
      </c>
      <c r="I93" s="13"/>
      <c r="J93" s="12">
        <v>0.87</v>
      </c>
      <c r="K93" s="12">
        <v>0.9319</v>
      </c>
      <c r="L93" s="12">
        <v>0.3881</v>
      </c>
      <c r="M93" s="12">
        <v>0.6243</v>
      </c>
      <c r="N93" s="13"/>
      <c r="O93" s="13"/>
    </row>
    <row r="94" ht="32.05" customHeight="1">
      <c r="A94" t="s" s="9">
        <v>381</v>
      </c>
      <c r="B94" s="24">
        <v>18264</v>
      </c>
      <c r="C94" t="s" s="11">
        <v>239</v>
      </c>
      <c r="D94" t="s" s="11">
        <v>237</v>
      </c>
      <c r="E94" s="13"/>
      <c r="F94" s="12">
        <v>50</v>
      </c>
      <c r="G94" s="12">
        <v>0.633</v>
      </c>
      <c r="H94" t="s" s="11">
        <v>382</v>
      </c>
      <c r="I94" s="13"/>
      <c r="J94" s="12">
        <v>0.8686</v>
      </c>
      <c r="K94" s="12">
        <v>0.9311</v>
      </c>
      <c r="L94" s="12">
        <v>0.3855</v>
      </c>
      <c r="M94" s="12">
        <v>0.6228</v>
      </c>
      <c r="N94" s="13"/>
      <c r="O94" s="13"/>
    </row>
    <row r="95" ht="32.05" customHeight="1">
      <c r="A95" t="s" s="9">
        <v>373</v>
      </c>
      <c r="B95" s="24">
        <v>18264</v>
      </c>
      <c r="C95" t="s" s="11">
        <v>239</v>
      </c>
      <c r="D95" t="s" s="11">
        <v>245</v>
      </c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</row>
    <row r="96" ht="32.05" customHeight="1">
      <c r="A96" t="s" s="9">
        <v>375</v>
      </c>
      <c r="B96" s="24">
        <v>18264</v>
      </c>
      <c r="C96" t="s" s="11">
        <v>239</v>
      </c>
      <c r="D96" t="s" s="11">
        <v>245</v>
      </c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</row>
    <row r="97" ht="32.05" customHeight="1">
      <c r="A97" t="s" s="9">
        <v>377</v>
      </c>
      <c r="B97" s="24">
        <v>18264</v>
      </c>
      <c r="C97" t="s" s="11">
        <v>239</v>
      </c>
      <c r="D97" t="s" s="11">
        <v>245</v>
      </c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</row>
    <row r="98" ht="32.05" customHeight="1">
      <c r="A98" t="s" s="9">
        <v>379</v>
      </c>
      <c r="B98" s="24">
        <v>18264</v>
      </c>
      <c r="C98" t="s" s="11">
        <v>239</v>
      </c>
      <c r="D98" t="s" s="11">
        <v>245</v>
      </c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</row>
    <row r="99" ht="32.05" customHeight="1">
      <c r="A99" t="s" s="9">
        <v>381</v>
      </c>
      <c r="B99" s="24">
        <v>18264</v>
      </c>
      <c r="C99" t="s" s="11">
        <v>239</v>
      </c>
      <c r="D99" t="s" s="11">
        <v>245</v>
      </c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</row>
    <row r="100" ht="20.05" customHeight="1">
      <c r="A100" t="s" s="9">
        <v>320</v>
      </c>
      <c r="B100" s="17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</row>
    <row r="101" ht="32.05" customHeight="1">
      <c r="A101" t="s" s="9">
        <v>373</v>
      </c>
      <c r="B101" t="s" s="10">
        <v>243</v>
      </c>
      <c r="C101" t="s" s="11">
        <v>239</v>
      </c>
      <c r="D101" t="s" s="11">
        <v>237</v>
      </c>
      <c r="E101" s="13"/>
      <c r="F101" s="12">
        <v>92</v>
      </c>
      <c r="G101" s="12">
        <v>0.6105</v>
      </c>
      <c r="H101" t="s" s="11">
        <v>383</v>
      </c>
      <c r="I101" s="13"/>
      <c r="J101" s="12">
        <v>0.8722</v>
      </c>
      <c r="K101" s="12">
        <v>0.9330000000000001</v>
      </c>
      <c r="L101" s="12">
        <v>0.4003</v>
      </c>
      <c r="M101" s="12">
        <v>0.6338</v>
      </c>
      <c r="N101" s="13"/>
      <c r="O101" s="13"/>
    </row>
    <row r="102" ht="32.05" customHeight="1">
      <c r="A102" t="s" s="9">
        <v>375</v>
      </c>
      <c r="B102" t="s" s="10">
        <v>243</v>
      </c>
      <c r="C102" t="s" s="11">
        <v>239</v>
      </c>
      <c r="D102" t="s" s="11">
        <v>237</v>
      </c>
      <c r="E102" s="13"/>
      <c r="F102" s="12">
        <v>92</v>
      </c>
      <c r="G102" s="12">
        <v>0.6081</v>
      </c>
      <c r="H102" t="s" s="11">
        <v>384</v>
      </c>
      <c r="I102" s="13"/>
      <c r="J102" s="12">
        <v>0.8719</v>
      </c>
      <c r="K102" s="12">
        <v>0.9328</v>
      </c>
      <c r="L102" s="12">
        <v>0.399</v>
      </c>
      <c r="M102" s="12">
        <v>0.6336000000000001</v>
      </c>
      <c r="N102" s="13"/>
      <c r="O102" s="13"/>
    </row>
    <row r="103" ht="32.05" customHeight="1">
      <c r="A103" t="s" s="9">
        <v>377</v>
      </c>
      <c r="B103" t="s" s="10">
        <v>243</v>
      </c>
      <c r="C103" t="s" s="11">
        <v>239</v>
      </c>
      <c r="D103" t="s" s="11">
        <v>237</v>
      </c>
      <c r="E103" s="13"/>
      <c r="F103" s="12">
        <v>92</v>
      </c>
      <c r="G103" s="12">
        <v>0.6057</v>
      </c>
      <c r="H103" t="s" s="11">
        <v>385</v>
      </c>
      <c r="I103" s="13"/>
      <c r="J103" s="12">
        <v>0.8724</v>
      </c>
      <c r="K103" s="12">
        <v>0.9332</v>
      </c>
      <c r="L103" s="12">
        <v>0.3993</v>
      </c>
      <c r="M103" s="12">
        <v>0.6342</v>
      </c>
      <c r="N103" s="13"/>
      <c r="O103" s="13"/>
    </row>
    <row r="104" ht="32.05" customHeight="1">
      <c r="A104" t="s" s="9">
        <v>379</v>
      </c>
      <c r="B104" t="s" s="10">
        <v>243</v>
      </c>
      <c r="C104" t="s" s="11">
        <v>239</v>
      </c>
      <c r="D104" t="s" s="11">
        <v>237</v>
      </c>
      <c r="E104" s="13"/>
      <c r="F104" s="12">
        <v>92</v>
      </c>
      <c r="G104" s="12">
        <v>0.6139</v>
      </c>
      <c r="H104" t="s" s="11">
        <v>386</v>
      </c>
      <c r="I104" s="13"/>
      <c r="J104" s="12">
        <v>0.8723</v>
      </c>
      <c r="K104" s="12">
        <v>0.9331</v>
      </c>
      <c r="L104" s="12">
        <v>0.3982</v>
      </c>
      <c r="M104" s="12">
        <v>0.6327</v>
      </c>
      <c r="N104" s="13"/>
      <c r="O104" s="13"/>
    </row>
    <row r="105" ht="32.05" customHeight="1">
      <c r="A105" t="s" s="9">
        <v>381</v>
      </c>
      <c r="B105" t="s" s="10">
        <v>243</v>
      </c>
      <c r="C105" t="s" s="11">
        <v>239</v>
      </c>
      <c r="D105" t="s" s="11">
        <v>237</v>
      </c>
      <c r="E105" s="13"/>
      <c r="F105" s="12">
        <v>92</v>
      </c>
      <c r="G105" s="12">
        <v>0.612</v>
      </c>
      <c r="H105" t="s" s="11">
        <v>387</v>
      </c>
      <c r="I105" s="13"/>
      <c r="J105" s="12">
        <v>0.871</v>
      </c>
      <c r="K105" s="12">
        <v>0.9323</v>
      </c>
      <c r="L105" s="12">
        <v>0.3977</v>
      </c>
      <c r="M105" s="12">
        <v>0.6322</v>
      </c>
      <c r="N105" s="13"/>
      <c r="O105" s="13"/>
    </row>
    <row r="106" ht="32.05" customHeight="1">
      <c r="A106" t="s" s="9">
        <v>373</v>
      </c>
      <c r="B106" t="s" s="10">
        <v>243</v>
      </c>
      <c r="C106" t="s" s="11">
        <v>239</v>
      </c>
      <c r="D106" t="s" s="11">
        <v>245</v>
      </c>
      <c r="E106" s="13"/>
      <c r="F106" s="12">
        <v>92</v>
      </c>
      <c r="G106" s="13"/>
      <c r="H106" t="s" s="11">
        <v>388</v>
      </c>
      <c r="I106" s="13"/>
      <c r="J106" s="12">
        <v>0.8717</v>
      </c>
      <c r="K106" s="12">
        <v>0.9327</v>
      </c>
      <c r="L106" s="12">
        <v>0.3987</v>
      </c>
      <c r="M106" s="12">
        <v>0.6329</v>
      </c>
      <c r="N106" s="13"/>
      <c r="O106" s="13"/>
    </row>
    <row r="107" ht="32.05" customHeight="1">
      <c r="A107" t="s" s="9">
        <v>375</v>
      </c>
      <c r="B107" t="s" s="10">
        <v>243</v>
      </c>
      <c r="C107" t="s" s="11">
        <v>239</v>
      </c>
      <c r="D107" t="s" s="11">
        <v>245</v>
      </c>
      <c r="E107" s="13"/>
      <c r="F107" s="12">
        <v>92</v>
      </c>
      <c r="G107" s="13"/>
      <c r="H107" t="s" s="11">
        <v>389</v>
      </c>
      <c r="I107" s="13"/>
      <c r="J107" s="12">
        <v>0.8723</v>
      </c>
      <c r="K107" s="12">
        <v>0.9331</v>
      </c>
      <c r="L107" s="12">
        <v>0.3994</v>
      </c>
      <c r="M107" s="12">
        <v>0.6338</v>
      </c>
      <c r="N107" s="13"/>
      <c r="O107" s="13"/>
    </row>
    <row r="108" ht="32.05" customHeight="1">
      <c r="A108" t="s" s="9">
        <v>377</v>
      </c>
      <c r="B108" t="s" s="10">
        <v>243</v>
      </c>
      <c r="C108" t="s" s="11">
        <v>239</v>
      </c>
      <c r="D108" t="s" s="11">
        <v>245</v>
      </c>
      <c r="E108" s="13"/>
      <c r="F108" s="12">
        <v>92</v>
      </c>
      <c r="G108" s="13"/>
      <c r="H108" t="s" s="11">
        <v>390</v>
      </c>
      <c r="I108" s="13"/>
      <c r="J108" s="12">
        <v>0.8723</v>
      </c>
      <c r="K108" s="12">
        <v>0.9331</v>
      </c>
      <c r="L108" s="12">
        <v>0.3992</v>
      </c>
      <c r="M108" s="12">
        <v>0.6344</v>
      </c>
      <c r="N108" s="13"/>
      <c r="O108" s="13"/>
    </row>
    <row r="109" ht="32.05" customHeight="1">
      <c r="A109" t="s" s="9">
        <v>379</v>
      </c>
      <c r="B109" t="s" s="10">
        <v>243</v>
      </c>
      <c r="C109" t="s" s="11">
        <v>239</v>
      </c>
      <c r="D109" t="s" s="11">
        <v>245</v>
      </c>
      <c r="E109" s="13"/>
      <c r="F109" s="12">
        <v>92</v>
      </c>
      <c r="G109" s="13"/>
      <c r="H109" t="s" s="11">
        <v>391</v>
      </c>
      <c r="I109" s="13"/>
      <c r="J109" s="12">
        <v>0.8713</v>
      </c>
      <c r="K109" s="12">
        <v>0.9325</v>
      </c>
      <c r="L109" s="12">
        <v>0.3983</v>
      </c>
      <c r="M109" s="12">
        <v>0.6329</v>
      </c>
      <c r="N109" s="13"/>
      <c r="O109" s="13"/>
    </row>
    <row r="110" ht="32.05" customHeight="1">
      <c r="A110" t="s" s="9">
        <v>381</v>
      </c>
      <c r="B110" t="s" s="10">
        <v>243</v>
      </c>
      <c r="C110" t="s" s="11">
        <v>239</v>
      </c>
      <c r="D110" t="s" s="11">
        <v>245</v>
      </c>
      <c r="E110" s="13"/>
      <c r="F110" s="12">
        <v>92</v>
      </c>
      <c r="G110" s="13"/>
      <c r="H110" t="s" s="11">
        <v>392</v>
      </c>
      <c r="I110" s="13"/>
      <c r="J110" s="12">
        <v>0.8711</v>
      </c>
      <c r="K110" s="12">
        <v>0.9324</v>
      </c>
      <c r="L110" s="12">
        <v>0.3983</v>
      </c>
      <c r="M110" s="12">
        <v>0.6327</v>
      </c>
      <c r="N110" s="13"/>
      <c r="O110" s="13"/>
    </row>
    <row r="111" ht="20.05" customHeight="1">
      <c r="A111" t="s" s="9">
        <v>354</v>
      </c>
      <c r="B111" s="17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</row>
    <row r="112" ht="32.05" customHeight="1">
      <c r="A112" t="s" s="9">
        <v>373</v>
      </c>
      <c r="B112" t="s" s="10">
        <v>355</v>
      </c>
      <c r="C112" t="s" s="11">
        <v>239</v>
      </c>
      <c r="D112" t="s" s="11">
        <v>237</v>
      </c>
      <c r="E112" s="13"/>
      <c r="F112" s="12">
        <v>142</v>
      </c>
      <c r="G112" s="12">
        <v>0.5981</v>
      </c>
      <c r="H112" t="s" s="11">
        <v>393</v>
      </c>
      <c r="I112" s="13"/>
      <c r="J112" s="12">
        <v>0.8733</v>
      </c>
      <c r="K112" s="12">
        <v>0.9336</v>
      </c>
      <c r="L112" s="12">
        <v>0.4046</v>
      </c>
      <c r="M112" s="12">
        <v>0.6383</v>
      </c>
      <c r="N112" s="13"/>
      <c r="O112" s="13"/>
    </row>
    <row r="113" ht="32.05" customHeight="1">
      <c r="A113" t="s" s="9">
        <v>375</v>
      </c>
      <c r="B113" t="s" s="10">
        <v>355</v>
      </c>
      <c r="C113" t="s" s="11">
        <v>239</v>
      </c>
      <c r="D113" t="s" s="11">
        <v>237</v>
      </c>
      <c r="E113" s="13"/>
      <c r="F113" s="12">
        <v>142</v>
      </c>
      <c r="G113" s="12">
        <v>0.5962</v>
      </c>
      <c r="H113" t="s" s="11">
        <v>394</v>
      </c>
      <c r="I113" s="13"/>
      <c r="J113" s="12">
        <v>0.873</v>
      </c>
      <c r="K113" s="12">
        <v>0.9333</v>
      </c>
      <c r="L113" s="12">
        <v>0.4038</v>
      </c>
      <c r="M113" s="12">
        <v>0.6378</v>
      </c>
      <c r="N113" s="13"/>
      <c r="O113" s="13"/>
    </row>
    <row r="114" ht="32.05" customHeight="1">
      <c r="A114" t="s" s="9">
        <v>377</v>
      </c>
      <c r="B114" t="s" s="10">
        <v>355</v>
      </c>
      <c r="C114" t="s" s="11">
        <v>239</v>
      </c>
      <c r="D114" t="s" s="11">
        <v>237</v>
      </c>
      <c r="E114" s="13"/>
      <c r="F114" s="12">
        <v>142</v>
      </c>
      <c r="G114" s="12">
        <v>0.5943000000000001</v>
      </c>
      <c r="H114" t="s" s="11">
        <v>395</v>
      </c>
      <c r="I114" s="13"/>
      <c r="J114" s="12">
        <v>0.8736</v>
      </c>
      <c r="K114" s="12">
        <v>0.9338</v>
      </c>
      <c r="L114" s="12">
        <v>0.4049</v>
      </c>
      <c r="M114" s="12">
        <v>0.6388</v>
      </c>
      <c r="N114" s="13"/>
      <c r="O114" s="13"/>
    </row>
    <row r="115" ht="32.05" customHeight="1">
      <c r="A115" t="s" s="9">
        <v>379</v>
      </c>
      <c r="B115" t="s" s="10">
        <v>355</v>
      </c>
      <c r="C115" t="s" s="11">
        <v>239</v>
      </c>
      <c r="D115" t="s" s="11">
        <v>237</v>
      </c>
      <c r="E115" s="13"/>
      <c r="F115" s="12">
        <v>142</v>
      </c>
      <c r="G115" s="12">
        <v>0.6008</v>
      </c>
      <c r="H115" t="s" s="11">
        <v>396</v>
      </c>
      <c r="I115" s="13"/>
      <c r="J115" s="12">
        <v>0.8731</v>
      </c>
      <c r="K115" s="12">
        <v>0.9335</v>
      </c>
      <c r="L115" s="12">
        <v>0.4031</v>
      </c>
      <c r="M115" s="12">
        <v>0.637</v>
      </c>
      <c r="N115" s="13"/>
      <c r="O115" s="13"/>
    </row>
    <row r="116" ht="32.05" customHeight="1">
      <c r="A116" t="s" s="9">
        <v>381</v>
      </c>
      <c r="B116" t="s" s="10">
        <v>355</v>
      </c>
      <c r="C116" t="s" s="11">
        <v>239</v>
      </c>
      <c r="D116" t="s" s="11">
        <v>237</v>
      </c>
      <c r="E116" s="13"/>
      <c r="F116" s="12">
        <v>142</v>
      </c>
      <c r="G116" s="12">
        <v>0.5992</v>
      </c>
      <c r="H116" t="s" s="11">
        <v>397</v>
      </c>
      <c r="I116" s="13"/>
      <c r="J116" s="12">
        <v>0.8719</v>
      </c>
      <c r="K116" s="12">
        <v>0.9328</v>
      </c>
      <c r="L116" s="12">
        <v>0.4006</v>
      </c>
      <c r="M116" s="12">
        <v>0.636</v>
      </c>
      <c r="N116" s="13"/>
      <c r="O116" s="13"/>
    </row>
    <row r="117" ht="32.05" customHeight="1">
      <c r="A117" t="s" s="9">
        <v>373</v>
      </c>
      <c r="B117" t="s" s="10">
        <v>355</v>
      </c>
      <c r="C117" t="s" s="11">
        <v>239</v>
      </c>
      <c r="D117" t="s" s="11">
        <v>245</v>
      </c>
      <c r="E117" s="13"/>
      <c r="F117" s="12">
        <v>142</v>
      </c>
      <c r="G117" s="13"/>
      <c r="H117" t="s" s="11">
        <v>398</v>
      </c>
      <c r="I117" s="12">
        <v>0.7823</v>
      </c>
      <c r="J117" s="12">
        <v>0.8728</v>
      </c>
      <c r="K117" s="12">
        <v>0.9333</v>
      </c>
      <c r="L117" s="12">
        <v>0.4031</v>
      </c>
      <c r="M117" s="12">
        <v>0.6374</v>
      </c>
      <c r="N117" s="13"/>
      <c r="O117" s="13"/>
    </row>
    <row r="118" ht="32.05" customHeight="1">
      <c r="A118" t="s" s="9">
        <v>375</v>
      </c>
      <c r="B118" t="s" s="10">
        <v>355</v>
      </c>
      <c r="C118" t="s" s="11">
        <v>239</v>
      </c>
      <c r="D118" t="s" s="11">
        <v>245</v>
      </c>
      <c r="E118" s="13"/>
      <c r="F118" s="12">
        <v>142</v>
      </c>
      <c r="G118" s="13"/>
      <c r="H118" t="s" s="11">
        <v>399</v>
      </c>
      <c r="I118" s="12">
        <v>0.7799</v>
      </c>
      <c r="J118" s="12">
        <v>0.8733</v>
      </c>
      <c r="K118" s="12">
        <v>0.9336</v>
      </c>
      <c r="L118" s="12">
        <v>0.4041</v>
      </c>
      <c r="M118" s="12">
        <v>0.6379</v>
      </c>
      <c r="N118" s="13"/>
      <c r="O118" s="13"/>
    </row>
    <row r="119" ht="32.05" customHeight="1">
      <c r="A119" t="s" s="9">
        <v>377</v>
      </c>
      <c r="B119" t="s" s="10">
        <v>355</v>
      </c>
      <c r="C119" t="s" s="11">
        <v>239</v>
      </c>
      <c r="D119" t="s" s="11">
        <v>245</v>
      </c>
      <c r="E119" s="13"/>
      <c r="F119" s="12">
        <v>142</v>
      </c>
      <c r="G119" s="13"/>
      <c r="H119" t="s" s="11">
        <v>400</v>
      </c>
      <c r="I119" s="12">
        <v>0.78</v>
      </c>
      <c r="J119" s="12">
        <v>0.8735000000000001</v>
      </c>
      <c r="K119" s="12">
        <v>0.9337</v>
      </c>
      <c r="L119" s="12">
        <v>0.4046</v>
      </c>
      <c r="M119" s="12">
        <v>0.6388</v>
      </c>
      <c r="N119" s="13"/>
      <c r="O119" s="13"/>
    </row>
    <row r="120" ht="32.05" customHeight="1">
      <c r="A120" t="s" s="9">
        <v>379</v>
      </c>
      <c r="B120" t="s" s="10">
        <v>355</v>
      </c>
      <c r="C120" t="s" s="11">
        <v>239</v>
      </c>
      <c r="D120" t="s" s="11">
        <v>245</v>
      </c>
      <c r="E120" s="13"/>
      <c r="F120" s="12">
        <v>142</v>
      </c>
      <c r="G120" s="13"/>
      <c r="H120" t="s" s="11">
        <v>401</v>
      </c>
      <c r="I120" s="12">
        <v>0.7877</v>
      </c>
      <c r="J120" s="12">
        <v>0.8722</v>
      </c>
      <c r="K120" s="12">
        <v>0.9330000000000001</v>
      </c>
      <c r="L120" s="12">
        <v>0.4033</v>
      </c>
      <c r="M120" s="12">
        <v>0.6373</v>
      </c>
      <c r="N120" s="13"/>
      <c r="O120" s="13"/>
    </row>
    <row r="121" ht="32.05" customHeight="1">
      <c r="A121" t="s" s="9">
        <v>381</v>
      </c>
      <c r="B121" t="s" s="10">
        <v>355</v>
      </c>
      <c r="C121" t="s" s="11">
        <v>239</v>
      </c>
      <c r="D121" t="s" s="11">
        <v>245</v>
      </c>
      <c r="E121" s="13"/>
      <c r="F121" s="12">
        <v>142</v>
      </c>
      <c r="G121" s="13"/>
      <c r="H121" t="s" s="11">
        <v>402</v>
      </c>
      <c r="I121" s="12">
        <v>0.7875</v>
      </c>
      <c r="J121" s="12">
        <v>0.8719</v>
      </c>
      <c r="K121" s="12">
        <v>0.9329</v>
      </c>
      <c r="L121" s="12">
        <v>0.4008</v>
      </c>
      <c r="M121" s="12">
        <v>0.6364</v>
      </c>
      <c r="N121" s="13"/>
      <c r="O121" s="13"/>
    </row>
    <row r="122" ht="32.05" customHeight="1">
      <c r="A122" t="s" s="9">
        <v>331</v>
      </c>
      <c r="B122" t="s" s="10">
        <v>355</v>
      </c>
      <c r="C122" t="s" s="11">
        <v>239</v>
      </c>
      <c r="D122" t="s" s="11">
        <v>245</v>
      </c>
      <c r="E122" s="13"/>
      <c r="F122" s="13"/>
      <c r="G122" s="13"/>
      <c r="H122" s="13"/>
      <c r="I122" s="12" cm="1">
        <f t="array" ref="I122">AVERAGE(I117:I121)</f>
        <v>0.78348</v>
      </c>
      <c r="J122" s="12" cm="1">
        <f t="array" ref="J122">AVERAGE(J117:J121)</f>
        <v>0.87274</v>
      </c>
      <c r="K122" s="12" cm="1">
        <f t="array" ref="K122">AVERAGE(K117:K121)</f>
        <v>0.9333</v>
      </c>
      <c r="L122" s="12" cm="1">
        <f t="array" ref="L122">AVERAGE(L117:L121)</f>
        <v>0.40318</v>
      </c>
      <c r="M122" s="12" cm="1">
        <f t="array" ref="M122">AVERAGE(M117:M121)</f>
        <v>0.63756</v>
      </c>
      <c r="N122" s="13"/>
      <c r="O122" s="13"/>
    </row>
    <row r="123" ht="32.05" customHeight="1">
      <c r="A123" t="s" s="9">
        <v>332</v>
      </c>
      <c r="B123" t="s" s="10">
        <v>355</v>
      </c>
      <c r="C123" t="s" s="11">
        <v>239</v>
      </c>
      <c r="D123" t="s" s="11">
        <v>245</v>
      </c>
      <c r="E123" s="13"/>
      <c r="F123" s="13"/>
      <c r="G123" s="13"/>
      <c r="H123" s="13"/>
      <c r="I123" s="12" cm="1">
        <f t="array" ref="I123">STDEV(I117:I121)</f>
        <v>0.0038822673787363</v>
      </c>
      <c r="J123" s="12" cm="1">
        <f t="array" ref="J123">STDEV(J117:J121)</f>
        <v>0.000687749954561976</v>
      </c>
      <c r="K123" s="12" cm="1">
        <f t="array" ref="K123">STDEV(K117:K121)</f>
        <v>0.000353553390593274</v>
      </c>
      <c r="L123" s="12" cm="1">
        <f t="array" ref="L123">STDEV(L117:L121)</f>
        <v>0.00146184814532837</v>
      </c>
      <c r="M123" s="12" cm="1">
        <f t="array" ref="M123">STDEV(M117:M121)</f>
        <v>0.000879204185613331</v>
      </c>
      <c r="N123" s="13"/>
      <c r="O123" s="13"/>
    </row>
    <row r="124" ht="20.05" customHeight="1">
      <c r="A124" t="s" s="9">
        <v>365</v>
      </c>
      <c r="B124" s="17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</row>
    <row r="125" ht="32.05" customHeight="1">
      <c r="A125" t="s" s="9">
        <v>373</v>
      </c>
      <c r="B125" t="s" s="10">
        <v>366</v>
      </c>
      <c r="C125" t="s" s="11">
        <v>239</v>
      </c>
      <c r="D125" t="s" s="11">
        <v>237</v>
      </c>
      <c r="E125" s="13"/>
      <c r="F125" s="12">
        <v>191</v>
      </c>
      <c r="G125" s="12">
        <v>0.5909</v>
      </c>
      <c r="H125" t="s" s="11">
        <v>403</v>
      </c>
      <c r="I125" s="13"/>
      <c r="J125" s="12">
        <v>0.8741</v>
      </c>
      <c r="K125" s="12">
        <v>0.9340000000000001</v>
      </c>
      <c r="L125" s="12">
        <v>0.4087</v>
      </c>
      <c r="M125" s="12">
        <v>0.6412</v>
      </c>
      <c r="N125" s="13"/>
      <c r="O125" s="13"/>
    </row>
    <row r="126" ht="32.05" customHeight="1">
      <c r="A126" t="s" s="9">
        <v>375</v>
      </c>
      <c r="B126" t="s" s="10">
        <v>366</v>
      </c>
      <c r="C126" t="s" s="11">
        <v>239</v>
      </c>
      <c r="D126" t="s" s="11">
        <v>237</v>
      </c>
      <c r="E126" s="13"/>
      <c r="F126" s="12">
        <v>192</v>
      </c>
      <c r="G126" s="12">
        <v>0.5883</v>
      </c>
      <c r="H126" t="s" s="11">
        <v>404</v>
      </c>
      <c r="I126" s="13"/>
      <c r="J126" s="12">
        <v>0.8736</v>
      </c>
      <c r="K126" s="12">
        <v>0.9337</v>
      </c>
      <c r="L126" s="12">
        <v>0.4068</v>
      </c>
      <c r="M126" s="12">
        <v>0.6405999999999999</v>
      </c>
      <c r="N126" s="13"/>
      <c r="O126" s="13"/>
    </row>
    <row r="127" ht="32.05" customHeight="1">
      <c r="A127" t="s" s="9">
        <v>377</v>
      </c>
      <c r="B127" t="s" s="10">
        <v>366</v>
      </c>
      <c r="C127" t="s" s="11">
        <v>239</v>
      </c>
      <c r="D127" t="s" s="11">
        <v>237</v>
      </c>
      <c r="E127" s="13"/>
      <c r="F127" s="12">
        <v>191</v>
      </c>
      <c r="G127" s="12">
        <v>0.5879</v>
      </c>
      <c r="H127" t="s" s="11">
        <v>405</v>
      </c>
      <c r="I127" s="13"/>
      <c r="J127" s="12">
        <v>0.8743</v>
      </c>
      <c r="K127" s="12">
        <v>0.9342</v>
      </c>
      <c r="L127" s="12">
        <v>0.409</v>
      </c>
      <c r="M127" s="12">
        <v>0.6415999999999999</v>
      </c>
      <c r="N127" s="13"/>
      <c r="O127" s="13"/>
    </row>
    <row r="128" ht="32.05" customHeight="1">
      <c r="A128" t="s" s="9">
        <v>379</v>
      </c>
      <c r="B128" t="s" s="10">
        <v>366</v>
      </c>
      <c r="C128" t="s" s="11">
        <v>239</v>
      </c>
      <c r="D128" t="s" s="11">
        <v>237</v>
      </c>
      <c r="E128" s="13"/>
      <c r="F128" s="12">
        <v>200</v>
      </c>
      <c r="G128" s="12">
        <v>0.5944</v>
      </c>
      <c r="H128" t="s" s="11">
        <v>406</v>
      </c>
      <c r="I128" s="13"/>
      <c r="J128" s="12">
        <v>0.8736</v>
      </c>
      <c r="K128" s="12">
        <v>0.9338</v>
      </c>
      <c r="L128" s="12">
        <v>0.4047</v>
      </c>
      <c r="M128" s="12">
        <v>0.639</v>
      </c>
      <c r="N128" s="13"/>
      <c r="O128" s="13"/>
    </row>
    <row r="129" ht="32.05" customHeight="1">
      <c r="A129" t="s" s="9">
        <v>381</v>
      </c>
      <c r="B129" t="s" s="10">
        <v>366</v>
      </c>
      <c r="C129" t="s" s="11">
        <v>239</v>
      </c>
      <c r="D129" t="s" s="11">
        <v>237</v>
      </c>
      <c r="E129" s="13"/>
      <c r="F129" s="12">
        <v>192</v>
      </c>
      <c r="G129" s="12">
        <v>0.5909</v>
      </c>
      <c r="H129" t="s" s="11">
        <v>407</v>
      </c>
      <c r="I129" s="13"/>
      <c r="J129" s="12">
        <v>0.8729</v>
      </c>
      <c r="K129" s="12">
        <v>0.9334</v>
      </c>
      <c r="L129" s="12">
        <v>0.4055</v>
      </c>
      <c r="M129" s="12">
        <v>0.6395999999999999</v>
      </c>
      <c r="N129" s="13"/>
      <c r="O129" s="13"/>
    </row>
    <row r="130" ht="32.05" customHeight="1">
      <c r="A130" t="s" s="9">
        <v>373</v>
      </c>
      <c r="B130" t="s" s="10">
        <v>366</v>
      </c>
      <c r="C130" t="s" s="11">
        <v>239</v>
      </c>
      <c r="D130" t="s" s="11">
        <v>245</v>
      </c>
      <c r="E130" s="13"/>
      <c r="F130" s="13"/>
      <c r="G130" s="13"/>
      <c r="H130" s="12">
        <v>0.5852000000000001</v>
      </c>
      <c r="I130" s="12">
        <v>0.7773</v>
      </c>
      <c r="J130" s="12">
        <v>0.8737</v>
      </c>
      <c r="K130" s="12">
        <v>0.9338</v>
      </c>
      <c r="L130" s="12">
        <v>0.4072</v>
      </c>
      <c r="M130" s="12">
        <v>0.6403</v>
      </c>
      <c r="N130" s="13"/>
      <c r="O130" s="13"/>
    </row>
    <row r="131" ht="32.05" customHeight="1">
      <c r="A131" t="s" s="9">
        <v>375</v>
      </c>
      <c r="B131" t="s" s="10">
        <v>366</v>
      </c>
      <c r="C131" t="s" s="11">
        <v>239</v>
      </c>
      <c r="D131" t="s" s="11">
        <v>245</v>
      </c>
      <c r="E131" s="13"/>
      <c r="F131" s="13"/>
      <c r="G131" s="13"/>
      <c r="H131" s="12">
        <v>0.5833</v>
      </c>
      <c r="I131" s="12">
        <v>0.7755</v>
      </c>
      <c r="J131" s="12">
        <v>0.874</v>
      </c>
      <c r="K131" s="12">
        <v>0.9340000000000001</v>
      </c>
      <c r="L131" s="12">
        <v>0.4072</v>
      </c>
      <c r="M131" s="12">
        <v>0.6407</v>
      </c>
      <c r="N131" s="13"/>
      <c r="O131" s="13"/>
    </row>
    <row r="132" ht="32.05" customHeight="1">
      <c r="A132" t="s" s="9">
        <v>377</v>
      </c>
      <c r="B132" t="s" s="10">
        <v>366</v>
      </c>
      <c r="C132" t="s" s="11">
        <v>239</v>
      </c>
      <c r="D132" t="s" s="11">
        <v>245</v>
      </c>
      <c r="E132" s="13"/>
      <c r="F132" s="13"/>
      <c r="G132" s="13"/>
      <c r="H132" s="12">
        <v>0.5829</v>
      </c>
      <c r="I132" s="12">
        <v>0.7755</v>
      </c>
      <c r="J132" s="12">
        <v>0.8742</v>
      </c>
      <c r="K132" s="12">
        <v>0.9341</v>
      </c>
      <c r="L132" s="12">
        <v>0.409</v>
      </c>
      <c r="M132" s="12">
        <v>0.6418</v>
      </c>
      <c r="N132" s="13"/>
      <c r="O132" s="13"/>
    </row>
    <row r="133" ht="32.05" customHeight="1">
      <c r="A133" t="s" s="9">
        <v>379</v>
      </c>
      <c r="B133" t="s" s="10">
        <v>366</v>
      </c>
      <c r="C133" t="s" s="11">
        <v>239</v>
      </c>
      <c r="D133" t="s" s="11">
        <v>245</v>
      </c>
      <c r="E133" s="13"/>
      <c r="F133" s="13"/>
      <c r="G133" s="13"/>
      <c r="H133" s="12">
        <v>0.5923</v>
      </c>
      <c r="I133" s="12">
        <v>0.7841</v>
      </c>
      <c r="J133" s="12">
        <v>0.8727</v>
      </c>
      <c r="K133" s="12">
        <v>0.9333</v>
      </c>
      <c r="L133" s="12">
        <v>0.4049</v>
      </c>
      <c r="M133" s="12">
        <v>0.6393</v>
      </c>
      <c r="N133" s="13"/>
      <c r="O133" s="13"/>
    </row>
    <row r="134" ht="32.05" customHeight="1">
      <c r="A134" t="s" s="9">
        <v>381</v>
      </c>
      <c r="B134" t="s" s="10">
        <v>366</v>
      </c>
      <c r="C134" t="s" s="11">
        <v>239</v>
      </c>
      <c r="D134" t="s" s="11">
        <v>245</v>
      </c>
      <c r="E134" s="13"/>
      <c r="F134" s="13"/>
      <c r="G134" s="13"/>
      <c r="H134" s="12">
        <v>0.5897</v>
      </c>
      <c r="I134" s="12">
        <v>0.7817</v>
      </c>
      <c r="J134" s="12">
        <v>0.8729</v>
      </c>
      <c r="K134" s="12">
        <v>0.9334</v>
      </c>
      <c r="L134" s="12">
        <v>0.4058</v>
      </c>
      <c r="M134" s="12">
        <v>0.64</v>
      </c>
      <c r="N134" s="13"/>
      <c r="O134" s="13"/>
    </row>
    <row r="135" ht="32.05" customHeight="1">
      <c r="A135" t="s" s="9">
        <v>331</v>
      </c>
      <c r="B135" t="s" s="10">
        <v>366</v>
      </c>
      <c r="C135" t="s" s="11">
        <v>239</v>
      </c>
      <c r="D135" t="s" s="11">
        <v>245</v>
      </c>
      <c r="E135" s="13"/>
      <c r="F135" s="13"/>
      <c r="G135" s="13"/>
      <c r="H135" s="13"/>
      <c r="I135" s="12" cm="1">
        <f t="array" ref="I135">AVERAGE(I130:I134)</f>
        <v>0.77882</v>
      </c>
      <c r="J135" s="12" cm="1">
        <f t="array" ref="J135">AVERAGE(J130:J134)</f>
        <v>0.8735000000000001</v>
      </c>
      <c r="K135" s="12" cm="1">
        <f t="array" ref="K135">AVERAGE(K130:K134)</f>
        <v>0.93372</v>
      </c>
      <c r="L135" s="12" cm="1">
        <f t="array" ref="L135">AVERAGE(L130:L134)</f>
        <v>0.40682</v>
      </c>
      <c r="M135" s="12" cm="1">
        <f t="array" ref="M135">AVERAGE(M130:M134)</f>
        <v>0.64042</v>
      </c>
      <c r="N135" s="13"/>
      <c r="O135" s="13"/>
    </row>
    <row r="136" ht="32.05" customHeight="1">
      <c r="A136" t="s" s="9">
        <v>332</v>
      </c>
      <c r="B136" t="s" s="10">
        <v>366</v>
      </c>
      <c r="C136" t="s" s="11">
        <v>239</v>
      </c>
      <c r="D136" t="s" s="11">
        <v>245</v>
      </c>
      <c r="E136" s="13"/>
      <c r="F136" s="13"/>
      <c r="G136" s="13"/>
      <c r="H136" s="13"/>
      <c r="I136" s="12" cm="1">
        <f t="array" ref="I136">STDEV(I130:I134)</f>
        <v>0.00388998714650833</v>
      </c>
      <c r="J136" s="12" cm="1">
        <f t="array" ref="J136">STDEV(J130:J134)</f>
        <v>0.000667083203206317</v>
      </c>
      <c r="K136" s="12" cm="1">
        <f t="array" ref="K136">STDEV(K130:K134)</f>
        <v>0.000356370593624109</v>
      </c>
      <c r="L136" s="12" cm="1">
        <f t="array" ref="L136">STDEV(L130:L134)</f>
        <v>0.0015626899884494</v>
      </c>
      <c r="M136" s="12" cm="1">
        <f t="array" ref="M136">STDEV(M130:M134)</f>
        <v>0.000925742944882649</v>
      </c>
      <c r="N136" s="13"/>
      <c r="O136" s="13"/>
    </row>
    <row r="137" ht="20.05" customHeight="1">
      <c r="A137" s="16"/>
      <c r="B137" s="17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</row>
    <row r="138" ht="20.05" customHeight="1">
      <c r="A138" s="16"/>
      <c r="B138" s="17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</row>
    <row r="139" ht="20.05" customHeight="1">
      <c r="A139" s="16"/>
      <c r="B139" s="17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</row>
    <row r="140" ht="20.05" customHeight="1">
      <c r="A140" t="s" s="9">
        <v>408</v>
      </c>
      <c r="B140" s="17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</row>
    <row r="141" ht="32.05" customHeight="1">
      <c r="A141" t="s" s="9">
        <v>409</v>
      </c>
      <c r="B141" s="24">
        <v>18264</v>
      </c>
      <c r="C141" t="s" s="11">
        <v>239</v>
      </c>
      <c r="D141" t="s" s="11">
        <v>245</v>
      </c>
      <c r="E141" s="13"/>
      <c r="F141" s="12">
        <v>32</v>
      </c>
      <c r="G141" s="13"/>
      <c r="H141" t="s" s="11">
        <v>410</v>
      </c>
      <c r="I141" s="12">
        <v>0.0154</v>
      </c>
      <c r="J141" s="12">
        <v>0.8217</v>
      </c>
      <c r="K141" s="12">
        <v>0.9059</v>
      </c>
      <c r="L141" s="12">
        <v>0.2549</v>
      </c>
      <c r="M141" s="12">
        <v>0.5746</v>
      </c>
      <c r="N141" s="13"/>
      <c r="O141" s="13"/>
    </row>
    <row r="142" ht="32.05" customHeight="1">
      <c r="A142" t="s" s="9">
        <v>411</v>
      </c>
      <c r="B142" s="24">
        <v>18264</v>
      </c>
      <c r="C142" t="s" s="11">
        <v>239</v>
      </c>
      <c r="D142" t="s" s="11">
        <v>245</v>
      </c>
      <c r="E142" s="13"/>
      <c r="F142" s="12">
        <v>50</v>
      </c>
      <c r="G142" s="13"/>
      <c r="H142" t="s" s="11">
        <v>412</v>
      </c>
      <c r="I142" s="12">
        <v>0.0118</v>
      </c>
      <c r="J142" s="12">
        <v>0.8502</v>
      </c>
      <c r="K142" s="12">
        <v>0.9212</v>
      </c>
      <c r="L142" s="12">
        <v>0.3422</v>
      </c>
      <c r="M142" s="12">
        <v>0.6133</v>
      </c>
      <c r="N142" s="13"/>
      <c r="O142" s="13"/>
    </row>
    <row r="143" ht="32.05" customHeight="1">
      <c r="A143" t="s" s="9">
        <v>413</v>
      </c>
      <c r="B143" s="24">
        <v>18264</v>
      </c>
      <c r="C143" t="s" s="11">
        <v>239</v>
      </c>
      <c r="D143" t="s" s="11">
        <v>245</v>
      </c>
      <c r="E143" s="13"/>
      <c r="F143" s="12">
        <v>50</v>
      </c>
      <c r="G143" s="13"/>
      <c r="H143" t="s" s="11">
        <v>414</v>
      </c>
      <c r="I143" s="12">
        <v>0.0119</v>
      </c>
      <c r="J143" s="12">
        <v>0.8489</v>
      </c>
      <c r="K143" s="12">
        <v>0.9204</v>
      </c>
      <c r="L143" s="12">
        <v>0.3566</v>
      </c>
      <c r="M143" s="12">
        <v>0.6231</v>
      </c>
      <c r="N143" s="13"/>
      <c r="O143" s="13"/>
    </row>
    <row r="144" ht="32.05" customHeight="1">
      <c r="A144" t="s" s="9">
        <v>415</v>
      </c>
      <c r="B144" s="24">
        <v>18264</v>
      </c>
      <c r="C144" t="s" s="11">
        <v>239</v>
      </c>
      <c r="D144" t="s" s="11">
        <v>245</v>
      </c>
      <c r="E144" s="13"/>
      <c r="F144" s="12">
        <v>42</v>
      </c>
      <c r="G144" s="13"/>
      <c r="H144" t="s" s="11">
        <v>416</v>
      </c>
      <c r="I144" s="12">
        <v>0.0138</v>
      </c>
      <c r="J144" s="12">
        <v>0.8252</v>
      </c>
      <c r="K144" s="12">
        <v>0.9073</v>
      </c>
      <c r="L144" s="12">
        <v>0.309</v>
      </c>
      <c r="M144" s="12">
        <v>0.5861</v>
      </c>
      <c r="N144" s="13"/>
      <c r="O144" s="13"/>
    </row>
    <row r="145" ht="32.05" customHeight="1">
      <c r="A145" t="s" s="9">
        <v>417</v>
      </c>
      <c r="B145" s="24">
        <v>18264</v>
      </c>
      <c r="C145" t="s" s="11">
        <v>239</v>
      </c>
      <c r="D145" t="s" s="11">
        <v>245</v>
      </c>
      <c r="E145" s="13"/>
      <c r="F145" s="12">
        <v>42</v>
      </c>
      <c r="G145" s="13"/>
      <c r="H145" t="s" s="11">
        <v>418</v>
      </c>
      <c r="I145" s="12">
        <v>0.0122</v>
      </c>
      <c r="J145" s="12">
        <v>0.845</v>
      </c>
      <c r="K145" s="12">
        <v>0.9183</v>
      </c>
      <c r="L145" s="12">
        <v>0.3478</v>
      </c>
      <c r="M145" s="12">
        <v>0.6128</v>
      </c>
      <c r="N145" s="13"/>
      <c r="O145" s="13"/>
    </row>
    <row r="146" ht="32.05" customHeight="1">
      <c r="A146" t="s" s="9">
        <v>419</v>
      </c>
      <c r="B146" s="24">
        <v>18264</v>
      </c>
      <c r="C146" t="s" s="11">
        <v>239</v>
      </c>
      <c r="D146" t="s" s="11">
        <v>245</v>
      </c>
      <c r="E146" s="13"/>
      <c r="F146" s="12">
        <v>50</v>
      </c>
      <c r="G146" s="13"/>
      <c r="H146" t="s" s="11">
        <v>420</v>
      </c>
      <c r="I146" s="12">
        <v>0.0119</v>
      </c>
      <c r="J146" s="12">
        <v>0.849</v>
      </c>
      <c r="K146" s="12">
        <v>0.9206</v>
      </c>
      <c r="L146" s="12">
        <v>0.356</v>
      </c>
      <c r="M146" s="12">
        <v>0.6219</v>
      </c>
      <c r="N146" s="13"/>
      <c r="O146" s="13"/>
    </row>
    <row r="147" ht="32.05" customHeight="1">
      <c r="A147" t="s" s="9">
        <v>421</v>
      </c>
      <c r="B147" s="32">
        <v>50</v>
      </c>
      <c r="C147" t="s" s="11">
        <v>239</v>
      </c>
      <c r="D147" t="s" s="11">
        <v>245</v>
      </c>
      <c r="E147" s="13"/>
      <c r="F147" s="13"/>
      <c r="G147" s="13"/>
      <c r="H147" s="13"/>
      <c r="I147" s="12" cm="1">
        <f t="array" ref="I147">AVERAGE(I141,I144)</f>
        <v>0.0146</v>
      </c>
      <c r="J147" s="12" cm="1">
        <f t="array" ref="J147">AVERAGE(J141,J144)</f>
        <v>0.82345</v>
      </c>
      <c r="K147" s="12" cm="1">
        <f t="array" ref="K147">AVERAGE(K141,K144)</f>
        <v>0.9066</v>
      </c>
      <c r="L147" s="12" cm="1">
        <f t="array" ref="L147">AVERAGE(L141,L144)</f>
        <v>0.28195</v>
      </c>
      <c r="M147" s="12" cm="1">
        <f t="array" ref="M147">AVERAGE(M141,M144)</f>
        <v>0.58035</v>
      </c>
      <c r="N147" s="13"/>
      <c r="O147" s="13"/>
    </row>
    <row r="148" ht="32.05" customHeight="1">
      <c r="A148" t="s" s="9">
        <v>422</v>
      </c>
      <c r="B148" s="32">
        <v>50</v>
      </c>
      <c r="C148" t="s" s="11">
        <v>239</v>
      </c>
      <c r="D148" t="s" s="11">
        <v>245</v>
      </c>
      <c r="E148" s="13"/>
      <c r="F148" s="13"/>
      <c r="G148" s="13"/>
      <c r="H148" s="13"/>
      <c r="I148" s="12" cm="1">
        <f t="array" ref="I148">STDEV(I141,I144)</f>
        <v>0.00113137084989848</v>
      </c>
      <c r="J148" s="12" cm="1">
        <f t="array" ref="J148">STDEV(J141,J144)</f>
        <v>0.00247487373415292</v>
      </c>
      <c r="K148" s="12" cm="1">
        <f t="array" ref="K148">STDEV(K141,K144)</f>
        <v>0.000989949493661167</v>
      </c>
      <c r="L148" s="12" cm="1">
        <f t="array" ref="L148">STDEV(L141,L144)</f>
        <v>0.0382544768621922</v>
      </c>
      <c r="M148" s="12" cm="1">
        <f t="array" ref="M148">STDEV(M141,M144)</f>
        <v>0.008131727983645301</v>
      </c>
      <c r="N148" s="13"/>
      <c r="O148" s="13"/>
    </row>
    <row r="149" ht="32.05" customHeight="1">
      <c r="A149" t="s" s="9">
        <v>423</v>
      </c>
      <c r="B149" s="32">
        <v>50</v>
      </c>
      <c r="C149" t="s" s="11">
        <v>239</v>
      </c>
      <c r="D149" t="s" s="11">
        <v>245</v>
      </c>
      <c r="E149" s="13"/>
      <c r="F149" s="13"/>
      <c r="G149" s="13"/>
      <c r="H149" s="13"/>
      <c r="I149" s="12" cm="1">
        <f t="array" ref="I149">AVERAGE(I142,I145)</f>
        <v>0.012</v>
      </c>
      <c r="J149" s="12" cm="1">
        <f t="array" ref="J149">AVERAGE(J142,J145)</f>
        <v>0.8476</v>
      </c>
      <c r="K149" s="12" cm="1">
        <f t="array" ref="K149">AVERAGE(K142,K145)</f>
        <v>0.91975</v>
      </c>
      <c r="L149" s="12" cm="1">
        <f t="array" ref="L149">AVERAGE(L142,L145)</f>
        <v>0.345</v>
      </c>
      <c r="M149" s="12" cm="1">
        <f t="array" ref="M149">AVERAGE(M142,M145)</f>
        <v>0.61305</v>
      </c>
      <c r="N149" s="13"/>
      <c r="O149" s="13"/>
    </row>
    <row r="150" ht="32.05" customHeight="1">
      <c r="A150" t="s" s="9">
        <v>424</v>
      </c>
      <c r="B150" s="32">
        <v>50</v>
      </c>
      <c r="C150" t="s" s="11">
        <v>239</v>
      </c>
      <c r="D150" t="s" s="11">
        <v>245</v>
      </c>
      <c r="E150" s="13"/>
      <c r="F150" s="13"/>
      <c r="G150" s="13"/>
      <c r="H150" s="13"/>
      <c r="I150" s="12" cm="1">
        <f t="array" ref="I150">STDEV(I142,I145)</f>
        <v>0.000282842712474619</v>
      </c>
      <c r="J150" s="12" cm="1">
        <f t="array" ref="J150">STDEV(J142,J145)</f>
        <v>0.00367695526217005</v>
      </c>
      <c r="K150" s="12" cm="1">
        <f t="array" ref="K150">STDEV(K142,K145)</f>
        <v>0.00205060966544099</v>
      </c>
      <c r="L150" s="12" cm="1">
        <f t="array" ref="L150">STDEV(L142,L145)</f>
        <v>0.00395979797464467</v>
      </c>
      <c r="M150" s="12" cm="1">
        <f t="array" ref="M150">STDEV(M142,M145)</f>
        <v>0.000353553390593274</v>
      </c>
      <c r="N150" s="13"/>
      <c r="O150" s="13"/>
    </row>
    <row r="151" ht="32.05" customHeight="1">
      <c r="A151" t="s" s="9">
        <v>425</v>
      </c>
      <c r="B151" s="32">
        <v>50</v>
      </c>
      <c r="C151" t="s" s="11">
        <v>239</v>
      </c>
      <c r="D151" t="s" s="11">
        <v>245</v>
      </c>
      <c r="E151" s="13"/>
      <c r="F151" s="13"/>
      <c r="G151" s="13"/>
      <c r="H151" s="13"/>
      <c r="I151" s="12" cm="1">
        <f t="array" ref="I151">AVERAGE(I143,I146)</f>
        <v>0.0119</v>
      </c>
      <c r="J151" s="12" cm="1">
        <f t="array" ref="J151">AVERAGE(J143,J146)</f>
        <v>0.84895</v>
      </c>
      <c r="K151" s="12" cm="1">
        <f t="array" ref="K151">AVERAGE(K143,K146)</f>
        <v>0.9205</v>
      </c>
      <c r="L151" s="12" cm="1">
        <f t="array" ref="L151">AVERAGE(L143,L146)</f>
        <v>0.3563</v>
      </c>
      <c r="M151" s="12" cm="1">
        <f t="array" ref="M151">AVERAGE(M143,M146)</f>
        <v>0.6225000000000001</v>
      </c>
      <c r="N151" s="13"/>
      <c r="O151" s="13"/>
    </row>
    <row r="152" ht="32.05" customHeight="1">
      <c r="A152" t="s" s="9">
        <v>426</v>
      </c>
      <c r="B152" s="32">
        <v>50</v>
      </c>
      <c r="C152" t="s" s="11">
        <v>239</v>
      </c>
      <c r="D152" t="s" s="11">
        <v>245</v>
      </c>
      <c r="E152" s="13"/>
      <c r="F152" s="13"/>
      <c r="G152" s="13"/>
      <c r="H152" s="13"/>
      <c r="I152" s="12" cm="1">
        <f t="array" ref="I152">STDEV(I143,I146)</f>
        <v>0</v>
      </c>
      <c r="J152" s="12" cm="1">
        <f t="array" ref="J152">STDEV(J143,J146)</f>
        <v>7.071067811865479e-05</v>
      </c>
      <c r="K152" s="12" cm="1">
        <f t="array" ref="K152">STDEV(K143,K146)</f>
        <v>0.00014142135623731</v>
      </c>
      <c r="L152" s="12" cm="1">
        <f t="array" ref="L152">STDEV(L143,L146)</f>
        <v>0.000424264068711928</v>
      </c>
      <c r="M152" s="12" cm="1">
        <f t="array" ref="M152">STDEV(M143,M146)</f>
        <v>0.000848528137423857</v>
      </c>
      <c r="N152" s="13"/>
      <c r="O152" s="13"/>
    </row>
    <row r="153" ht="20.05" customHeight="1">
      <c r="A153" s="16"/>
      <c r="B153" s="17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</row>
    <row r="154" ht="20.05" customHeight="1">
      <c r="A154" s="16"/>
      <c r="B154" s="17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</row>
    <row r="155" ht="20.05" customHeight="1">
      <c r="A155" s="31">
        <v>45905</v>
      </c>
      <c r="B155" s="17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</row>
    <row r="156" ht="272.05" customHeight="1">
      <c r="A156" t="s" s="9">
        <v>427</v>
      </c>
      <c r="B156" s="17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</row>
    <row r="157" ht="20.05" customHeight="1">
      <c r="A157" t="s" s="9">
        <v>307</v>
      </c>
      <c r="B157" s="17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</row>
    <row r="158" ht="20.05" customHeight="1">
      <c r="A158" t="s" s="9">
        <v>308</v>
      </c>
      <c r="B158" s="17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</row>
    <row r="159" ht="32.05" customHeight="1">
      <c r="A159" t="s" s="9">
        <v>309</v>
      </c>
      <c r="B159" s="24">
        <v>18264</v>
      </c>
      <c r="C159" t="s" s="11">
        <v>239</v>
      </c>
      <c r="D159" t="s" s="11">
        <v>237</v>
      </c>
      <c r="E159" s="13"/>
      <c r="F159" s="12">
        <v>36</v>
      </c>
      <c r="G159" s="12">
        <v>0.6375</v>
      </c>
      <c r="H159" t="s" s="11">
        <v>428</v>
      </c>
      <c r="I159" s="13"/>
      <c r="J159" s="12">
        <v>0.8548</v>
      </c>
      <c r="K159" s="12">
        <v>0.9235</v>
      </c>
      <c r="L159" s="12">
        <v>0.2779</v>
      </c>
      <c r="M159" s="12">
        <v>0.5573</v>
      </c>
      <c r="N159" s="13"/>
      <c r="O159" s="13"/>
    </row>
    <row r="160" ht="32.05" customHeight="1">
      <c r="A160" t="s" s="9">
        <v>311</v>
      </c>
      <c r="B160" s="24">
        <v>18264</v>
      </c>
      <c r="C160" t="s" s="11">
        <v>239</v>
      </c>
      <c r="D160" t="s" s="11">
        <v>237</v>
      </c>
      <c r="E160" s="13"/>
      <c r="F160" s="12">
        <v>45</v>
      </c>
      <c r="G160" s="12">
        <v>0.6269</v>
      </c>
      <c r="H160" t="s" s="11">
        <v>429</v>
      </c>
      <c r="I160" s="13"/>
      <c r="J160" s="12">
        <v>0.8514</v>
      </c>
      <c r="K160" s="12">
        <v>0.922</v>
      </c>
      <c r="L160" s="12">
        <v>0.3213</v>
      </c>
      <c r="M160" s="12">
        <v>0.5829</v>
      </c>
      <c r="N160" s="13"/>
      <c r="O160" s="13"/>
    </row>
    <row r="161" ht="32.05" customHeight="1">
      <c r="A161" t="s" s="9">
        <v>314</v>
      </c>
      <c r="B161" s="24">
        <v>18264</v>
      </c>
      <c r="C161" t="s" s="11">
        <v>239</v>
      </c>
      <c r="D161" t="s" s="11">
        <v>237</v>
      </c>
      <c r="E161" s="13"/>
      <c r="F161" s="12">
        <v>45</v>
      </c>
      <c r="G161" s="12">
        <v>0.6361</v>
      </c>
      <c r="H161" t="s" s="11">
        <v>430</v>
      </c>
      <c r="I161" s="13"/>
      <c r="J161" s="12">
        <v>0.8501</v>
      </c>
      <c r="K161" s="12">
        <v>0.9216</v>
      </c>
      <c r="L161" s="12">
        <v>0.2758</v>
      </c>
      <c r="M161" s="12">
        <v>0.5481</v>
      </c>
      <c r="N161" s="13"/>
      <c r="O161" s="13"/>
    </row>
    <row r="162" ht="32.05" customHeight="1">
      <c r="A162" t="s" s="9">
        <v>316</v>
      </c>
      <c r="B162" s="24">
        <v>18264</v>
      </c>
      <c r="C162" t="s" s="11">
        <v>239</v>
      </c>
      <c r="D162" t="s" s="11">
        <v>237</v>
      </c>
      <c r="E162" s="13"/>
      <c r="F162" s="12">
        <v>17</v>
      </c>
      <c r="G162" s="12">
        <v>0.6649</v>
      </c>
      <c r="H162" t="s" s="11">
        <v>431</v>
      </c>
      <c r="I162" s="13"/>
      <c r="J162" s="12">
        <v>0.8344</v>
      </c>
      <c r="K162" s="12">
        <v>0.9125</v>
      </c>
      <c r="L162" s="12">
        <v>0.2954</v>
      </c>
      <c r="M162" s="12">
        <v>0.5629999999999999</v>
      </c>
      <c r="N162" s="13"/>
      <c r="O162" s="13"/>
    </row>
    <row r="163" ht="32.05" customHeight="1">
      <c r="A163" t="s" s="9">
        <v>318</v>
      </c>
      <c r="B163" s="24">
        <v>18264</v>
      </c>
      <c r="C163" t="s" s="11">
        <v>239</v>
      </c>
      <c r="D163" t="s" s="11">
        <v>237</v>
      </c>
      <c r="E163" s="13"/>
      <c r="F163" s="12">
        <v>26</v>
      </c>
      <c r="G163" s="12">
        <v>0.6526</v>
      </c>
      <c r="H163" t="s" s="11">
        <v>432</v>
      </c>
      <c r="I163" s="13"/>
      <c r="J163" s="12">
        <v>0.8502999999999999</v>
      </c>
      <c r="K163" s="12">
        <v>0.9215</v>
      </c>
      <c r="L163" s="12">
        <v>0.2998</v>
      </c>
      <c r="M163" s="12">
        <v>0.5617</v>
      </c>
      <c r="N163" s="13"/>
      <c r="O163" s="13"/>
    </row>
    <row r="164" ht="32.05" customHeight="1">
      <c r="A164" t="s" s="9">
        <v>309</v>
      </c>
      <c r="B164" s="24">
        <v>18264</v>
      </c>
      <c r="C164" t="s" s="11">
        <v>239</v>
      </c>
      <c r="D164" t="s" s="11">
        <v>245</v>
      </c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</row>
    <row r="165" ht="32.05" customHeight="1">
      <c r="A165" t="s" s="9">
        <v>311</v>
      </c>
      <c r="B165" s="24">
        <v>18264</v>
      </c>
      <c r="C165" t="s" s="11">
        <v>239</v>
      </c>
      <c r="D165" t="s" s="11">
        <v>245</v>
      </c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</row>
    <row r="166" ht="32.05" customHeight="1">
      <c r="A166" t="s" s="9">
        <v>314</v>
      </c>
      <c r="B166" s="24">
        <v>18264</v>
      </c>
      <c r="C166" t="s" s="11">
        <v>239</v>
      </c>
      <c r="D166" t="s" s="11">
        <v>245</v>
      </c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</row>
    <row r="167" ht="32.05" customHeight="1">
      <c r="A167" t="s" s="9">
        <v>316</v>
      </c>
      <c r="B167" s="24">
        <v>18264</v>
      </c>
      <c r="C167" t="s" s="11">
        <v>239</v>
      </c>
      <c r="D167" t="s" s="11">
        <v>245</v>
      </c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</row>
    <row r="168" ht="32.05" customHeight="1">
      <c r="A168" t="s" s="9">
        <v>318</v>
      </c>
      <c r="B168" s="24">
        <v>18264</v>
      </c>
      <c r="C168" t="s" s="11">
        <v>239</v>
      </c>
      <c r="D168" t="s" s="11">
        <v>245</v>
      </c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</row>
    <row r="169" ht="20.05" customHeight="1">
      <c r="A169" t="s" s="9">
        <v>320</v>
      </c>
      <c r="B169" s="17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</row>
    <row r="170" ht="32.05" customHeight="1">
      <c r="A170" t="s" s="9">
        <v>309</v>
      </c>
      <c r="B170" t="s" s="10">
        <v>243</v>
      </c>
      <c r="C170" t="s" s="11">
        <v>239</v>
      </c>
      <c r="D170" t="s" s="11">
        <v>237</v>
      </c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</row>
    <row r="171" ht="32.05" customHeight="1">
      <c r="A171" t="s" s="9">
        <v>311</v>
      </c>
      <c r="B171" t="s" s="10">
        <v>243</v>
      </c>
      <c r="C171" t="s" s="11">
        <v>239</v>
      </c>
      <c r="D171" t="s" s="11">
        <v>237</v>
      </c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</row>
    <row r="172" ht="32.05" customHeight="1">
      <c r="A172" t="s" s="9">
        <v>314</v>
      </c>
      <c r="B172" t="s" s="10">
        <v>243</v>
      </c>
      <c r="C172" t="s" s="11">
        <v>239</v>
      </c>
      <c r="D172" t="s" s="11">
        <v>237</v>
      </c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</row>
    <row r="173" ht="32.05" customHeight="1">
      <c r="A173" t="s" s="9">
        <v>316</v>
      </c>
      <c r="B173" t="s" s="10">
        <v>243</v>
      </c>
      <c r="C173" t="s" s="11">
        <v>239</v>
      </c>
      <c r="D173" t="s" s="11">
        <v>237</v>
      </c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</row>
    <row r="174" ht="32.05" customHeight="1">
      <c r="A174" t="s" s="9">
        <v>318</v>
      </c>
      <c r="B174" t="s" s="10">
        <v>243</v>
      </c>
      <c r="C174" t="s" s="11">
        <v>239</v>
      </c>
      <c r="D174" t="s" s="11">
        <v>237</v>
      </c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</row>
    <row r="175" ht="32.05" customHeight="1">
      <c r="A175" t="s" s="9">
        <v>309</v>
      </c>
      <c r="B175" t="s" s="10">
        <v>243</v>
      </c>
      <c r="C175" t="s" s="11">
        <v>239</v>
      </c>
      <c r="D175" t="s" s="11">
        <v>245</v>
      </c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</row>
    <row r="176" ht="32.05" customHeight="1">
      <c r="A176" t="s" s="9">
        <v>311</v>
      </c>
      <c r="B176" t="s" s="10">
        <v>243</v>
      </c>
      <c r="C176" t="s" s="11">
        <v>239</v>
      </c>
      <c r="D176" t="s" s="11">
        <v>245</v>
      </c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</row>
    <row r="177" ht="32.05" customHeight="1">
      <c r="A177" t="s" s="9">
        <v>314</v>
      </c>
      <c r="B177" t="s" s="10">
        <v>243</v>
      </c>
      <c r="C177" t="s" s="11">
        <v>239</v>
      </c>
      <c r="D177" t="s" s="11">
        <v>245</v>
      </c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</row>
    <row r="178" ht="32.05" customHeight="1">
      <c r="A178" t="s" s="9">
        <v>316</v>
      </c>
      <c r="B178" t="s" s="10">
        <v>243</v>
      </c>
      <c r="C178" t="s" s="11">
        <v>239</v>
      </c>
      <c r="D178" t="s" s="11">
        <v>245</v>
      </c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</row>
    <row r="179" ht="32.05" customHeight="1">
      <c r="A179" t="s" s="9">
        <v>318</v>
      </c>
      <c r="B179" t="s" s="10">
        <v>243</v>
      </c>
      <c r="C179" t="s" s="11">
        <v>239</v>
      </c>
      <c r="D179" t="s" s="11">
        <v>245</v>
      </c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</row>
    <row r="180" ht="20.05" customHeight="1">
      <c r="A180" s="16"/>
      <c r="B180" s="17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</row>
    <row r="181" ht="20.05" customHeight="1">
      <c r="A181" t="s" s="9">
        <v>333</v>
      </c>
      <c r="B181" s="17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</row>
    <row r="182" ht="20.05" customHeight="1">
      <c r="A182" t="s" s="9">
        <v>308</v>
      </c>
      <c r="B182" s="17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</row>
    <row r="183" ht="32.05" customHeight="1">
      <c r="A183" t="s" s="9">
        <v>334</v>
      </c>
      <c r="B183" s="24">
        <v>18264</v>
      </c>
      <c r="C183" t="s" s="11">
        <v>239</v>
      </c>
      <c r="D183" t="s" s="11">
        <v>237</v>
      </c>
      <c r="E183" s="13"/>
      <c r="F183" s="12">
        <v>50</v>
      </c>
      <c r="G183" s="12">
        <v>0.6413</v>
      </c>
      <c r="H183" t="s" s="11">
        <v>433</v>
      </c>
      <c r="I183" s="13"/>
      <c r="J183" s="12">
        <v>0.8653999999999999</v>
      </c>
      <c r="K183" s="12">
        <v>0.9293</v>
      </c>
      <c r="L183" s="12">
        <v>0.3653</v>
      </c>
      <c r="M183" s="12">
        <v>0.605</v>
      </c>
      <c r="N183" s="13"/>
      <c r="O183" s="13"/>
    </row>
    <row r="184" ht="32.05" customHeight="1">
      <c r="A184" t="s" s="9">
        <v>336</v>
      </c>
      <c r="B184" s="24">
        <v>18264</v>
      </c>
      <c r="C184" t="s" s="11">
        <v>239</v>
      </c>
      <c r="D184" t="s" s="11">
        <v>237</v>
      </c>
      <c r="E184" s="13"/>
      <c r="F184" s="12">
        <v>50</v>
      </c>
      <c r="G184" s="12">
        <v>0.6304</v>
      </c>
      <c r="H184" t="s" s="11">
        <v>434</v>
      </c>
      <c r="I184" s="13"/>
      <c r="J184" s="12">
        <v>0.8682</v>
      </c>
      <c r="K184" s="12">
        <v>0.9308</v>
      </c>
      <c r="L184" s="12">
        <v>0.3708</v>
      </c>
      <c r="M184" s="12">
        <v>0.611</v>
      </c>
      <c r="N184" s="13"/>
      <c r="O184" s="13"/>
    </row>
    <row r="185" ht="32.05" customHeight="1">
      <c r="A185" t="s" s="9">
        <v>338</v>
      </c>
      <c r="B185" s="24">
        <v>18264</v>
      </c>
      <c r="C185" t="s" s="11">
        <v>239</v>
      </c>
      <c r="D185" t="s" s="11">
        <v>237</v>
      </c>
      <c r="E185" s="13"/>
      <c r="F185" s="12">
        <v>49</v>
      </c>
      <c r="G185" s="12">
        <v>0.6444</v>
      </c>
      <c r="H185" t="s" s="11">
        <v>435</v>
      </c>
      <c r="I185" s="13"/>
      <c r="J185" s="12">
        <v>0.8598</v>
      </c>
      <c r="K185" s="12">
        <v>0.9264</v>
      </c>
      <c r="L185" s="12">
        <v>0.3749</v>
      </c>
      <c r="M185" s="12">
        <v>0.6145</v>
      </c>
      <c r="N185" s="13"/>
      <c r="O185" s="13"/>
    </row>
    <row r="186" ht="32.05" customHeight="1">
      <c r="A186" t="s" s="9">
        <v>340</v>
      </c>
      <c r="B186" s="24">
        <v>18264</v>
      </c>
      <c r="C186" t="s" s="11">
        <v>239</v>
      </c>
      <c r="D186" t="s" s="11">
        <v>237</v>
      </c>
      <c r="E186" s="13"/>
      <c r="F186" s="12">
        <v>50</v>
      </c>
      <c r="G186" s="12">
        <v>0.6277</v>
      </c>
      <c r="H186" t="s" s="11">
        <v>436</v>
      </c>
      <c r="I186" s="13"/>
      <c r="J186" s="12">
        <v>0.8657</v>
      </c>
      <c r="K186" s="12">
        <v>0.9294</v>
      </c>
      <c r="L186" s="12">
        <v>0.3676</v>
      </c>
      <c r="M186" s="12">
        <v>0.6086</v>
      </c>
      <c r="N186" s="13"/>
      <c r="O186" s="13"/>
    </row>
    <row r="187" ht="32.05" customHeight="1">
      <c r="A187" t="s" s="9">
        <v>342</v>
      </c>
      <c r="B187" s="24">
        <v>18264</v>
      </c>
      <c r="C187" t="s" s="11">
        <v>239</v>
      </c>
      <c r="D187" t="s" s="11">
        <v>237</v>
      </c>
      <c r="E187" s="13"/>
      <c r="F187" s="12">
        <v>42</v>
      </c>
      <c r="G187" s="12">
        <v>0.6443</v>
      </c>
      <c r="H187" t="s" s="11">
        <v>437</v>
      </c>
      <c r="I187" s="13"/>
      <c r="J187" s="12">
        <v>0.8595</v>
      </c>
      <c r="K187" s="12">
        <v>0.9263</v>
      </c>
      <c r="L187" s="12">
        <v>0.3678</v>
      </c>
      <c r="M187" s="12">
        <v>0.6099</v>
      </c>
      <c r="N187" s="13"/>
      <c r="O187" s="13"/>
    </row>
    <row r="188" ht="32.05" customHeight="1">
      <c r="A188" t="s" s="9">
        <v>334</v>
      </c>
      <c r="B188" s="24">
        <v>18264</v>
      </c>
      <c r="C188" t="s" s="11">
        <v>239</v>
      </c>
      <c r="D188" t="s" s="11">
        <v>245</v>
      </c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</row>
    <row r="189" ht="32.05" customHeight="1">
      <c r="A189" t="s" s="9">
        <v>336</v>
      </c>
      <c r="B189" s="24">
        <v>18264</v>
      </c>
      <c r="C189" t="s" s="11">
        <v>239</v>
      </c>
      <c r="D189" t="s" s="11">
        <v>245</v>
      </c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</row>
    <row r="190" ht="32.05" customHeight="1">
      <c r="A190" t="s" s="9">
        <v>338</v>
      </c>
      <c r="B190" s="24">
        <v>18264</v>
      </c>
      <c r="C190" t="s" s="11">
        <v>239</v>
      </c>
      <c r="D190" t="s" s="11">
        <v>245</v>
      </c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</row>
    <row r="191" ht="32.05" customHeight="1">
      <c r="A191" t="s" s="9">
        <v>340</v>
      </c>
      <c r="B191" s="24">
        <v>18264</v>
      </c>
      <c r="C191" t="s" s="11">
        <v>239</v>
      </c>
      <c r="D191" t="s" s="11">
        <v>245</v>
      </c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</row>
    <row r="192" ht="32.05" customHeight="1">
      <c r="A192" t="s" s="9">
        <v>342</v>
      </c>
      <c r="B192" s="24">
        <v>18264</v>
      </c>
      <c r="C192" t="s" s="11">
        <v>239</v>
      </c>
      <c r="D192" t="s" s="11">
        <v>245</v>
      </c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</row>
    <row r="193" ht="20.05" customHeight="1">
      <c r="A193" t="s" s="9">
        <v>320</v>
      </c>
      <c r="B193" s="17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</row>
    <row r="194" ht="32.05" customHeight="1">
      <c r="A194" t="s" s="9">
        <v>334</v>
      </c>
      <c r="B194" t="s" s="10">
        <v>243</v>
      </c>
      <c r="C194" t="s" s="11">
        <v>239</v>
      </c>
      <c r="D194" t="s" s="11">
        <v>237</v>
      </c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</row>
    <row r="195" ht="32.05" customHeight="1">
      <c r="A195" t="s" s="9">
        <v>336</v>
      </c>
      <c r="B195" t="s" s="10">
        <v>243</v>
      </c>
      <c r="C195" t="s" s="11">
        <v>239</v>
      </c>
      <c r="D195" t="s" s="11">
        <v>237</v>
      </c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</row>
    <row r="196" ht="32.05" customHeight="1">
      <c r="A196" t="s" s="9">
        <v>338</v>
      </c>
      <c r="B196" t="s" s="10">
        <v>243</v>
      </c>
      <c r="C196" t="s" s="11">
        <v>239</v>
      </c>
      <c r="D196" t="s" s="11">
        <v>237</v>
      </c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</row>
    <row r="197" ht="32.05" customHeight="1">
      <c r="A197" t="s" s="9">
        <v>340</v>
      </c>
      <c r="B197" t="s" s="10">
        <v>243</v>
      </c>
      <c r="C197" t="s" s="11">
        <v>239</v>
      </c>
      <c r="D197" t="s" s="11">
        <v>237</v>
      </c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</row>
    <row r="198" ht="32.05" customHeight="1">
      <c r="A198" t="s" s="9">
        <v>342</v>
      </c>
      <c r="B198" t="s" s="10">
        <v>243</v>
      </c>
      <c r="C198" t="s" s="11">
        <v>239</v>
      </c>
      <c r="D198" t="s" s="11">
        <v>237</v>
      </c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</row>
    <row r="199" ht="32.05" customHeight="1">
      <c r="A199" t="s" s="9">
        <v>334</v>
      </c>
      <c r="B199" t="s" s="10">
        <v>243</v>
      </c>
      <c r="C199" t="s" s="11">
        <v>239</v>
      </c>
      <c r="D199" t="s" s="11">
        <v>245</v>
      </c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</row>
    <row r="200" ht="32.05" customHeight="1">
      <c r="A200" t="s" s="9">
        <v>336</v>
      </c>
      <c r="B200" t="s" s="10">
        <v>243</v>
      </c>
      <c r="C200" t="s" s="11">
        <v>239</v>
      </c>
      <c r="D200" t="s" s="11">
        <v>245</v>
      </c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</row>
    <row r="201" ht="32.05" customHeight="1">
      <c r="A201" t="s" s="9">
        <v>338</v>
      </c>
      <c r="B201" t="s" s="10">
        <v>243</v>
      </c>
      <c r="C201" t="s" s="11">
        <v>239</v>
      </c>
      <c r="D201" t="s" s="11">
        <v>245</v>
      </c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</row>
    <row r="202" ht="32.05" customHeight="1">
      <c r="A202" t="s" s="9">
        <v>340</v>
      </c>
      <c r="B202" t="s" s="10">
        <v>243</v>
      </c>
      <c r="C202" t="s" s="11">
        <v>239</v>
      </c>
      <c r="D202" t="s" s="11">
        <v>245</v>
      </c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</row>
    <row r="203" ht="32.05" customHeight="1">
      <c r="A203" t="s" s="9">
        <v>342</v>
      </c>
      <c r="B203" t="s" s="10">
        <v>243</v>
      </c>
      <c r="C203" t="s" s="11">
        <v>239</v>
      </c>
      <c r="D203" t="s" s="11">
        <v>245</v>
      </c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</row>
    <row r="204" ht="20.05" customHeight="1">
      <c r="A204" s="16"/>
      <c r="B204" s="17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</row>
    <row r="205" ht="20.05" customHeight="1">
      <c r="A205" t="s" s="9">
        <v>372</v>
      </c>
      <c r="B205" s="17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</row>
    <row r="206" ht="20.05" customHeight="1">
      <c r="A206" t="s" s="9">
        <v>308</v>
      </c>
      <c r="B206" s="17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</row>
    <row r="207" ht="32.05" customHeight="1">
      <c r="A207" t="s" s="9">
        <v>373</v>
      </c>
      <c r="B207" s="24">
        <v>18264</v>
      </c>
      <c r="C207" t="s" s="11">
        <v>239</v>
      </c>
      <c r="D207" t="s" s="11">
        <v>237</v>
      </c>
      <c r="E207" s="13"/>
      <c r="F207" s="12">
        <v>49</v>
      </c>
      <c r="G207" s="12">
        <v>0.6466</v>
      </c>
      <c r="H207" t="s" s="11">
        <v>438</v>
      </c>
      <c r="I207" s="13"/>
      <c r="J207" s="12">
        <v>0.8683</v>
      </c>
      <c r="K207" s="12">
        <v>0.9308999999999999</v>
      </c>
      <c r="L207" s="12">
        <v>0.3798</v>
      </c>
      <c r="M207" s="12">
        <v>0.6179</v>
      </c>
      <c r="N207" s="13"/>
      <c r="O207" s="13"/>
    </row>
    <row r="208" ht="32.05" customHeight="1">
      <c r="A208" t="s" s="9">
        <v>375</v>
      </c>
      <c r="B208" s="24">
        <v>18264</v>
      </c>
      <c r="C208" t="s" s="11">
        <v>239</v>
      </c>
      <c r="D208" t="s" s="11">
        <v>237</v>
      </c>
      <c r="E208" s="13"/>
      <c r="F208" s="12">
        <v>50</v>
      </c>
      <c r="G208" s="12">
        <v>0.6375</v>
      </c>
      <c r="H208" t="s" s="11">
        <v>439</v>
      </c>
      <c r="I208" s="13"/>
      <c r="J208" s="12">
        <v>0.8682</v>
      </c>
      <c r="K208" s="12">
        <v>0.9308999999999999</v>
      </c>
      <c r="L208" s="12">
        <v>0.3837</v>
      </c>
      <c r="M208" s="12">
        <v>0.6201</v>
      </c>
      <c r="N208" s="13"/>
      <c r="O208" s="13"/>
    </row>
    <row r="209" ht="32.05" customHeight="1">
      <c r="A209" t="s" s="9">
        <v>377</v>
      </c>
      <c r="B209" s="24">
        <v>18264</v>
      </c>
      <c r="C209" t="s" s="11">
        <v>239</v>
      </c>
      <c r="D209" t="s" s="11">
        <v>237</v>
      </c>
      <c r="E209" s="13"/>
      <c r="F209" s="12">
        <v>50</v>
      </c>
      <c r="G209" s="12">
        <v>0.6404</v>
      </c>
      <c r="H209" t="s" s="11">
        <v>440</v>
      </c>
      <c r="I209" s="13"/>
      <c r="J209" s="12">
        <v>0.8687</v>
      </c>
      <c r="K209" s="12">
        <v>0.9312</v>
      </c>
      <c r="L209" s="12">
        <v>0.3818</v>
      </c>
      <c r="M209" s="12">
        <v>0.6196</v>
      </c>
      <c r="N209" s="13"/>
      <c r="O209" s="13"/>
    </row>
    <row r="210" ht="32.05" customHeight="1">
      <c r="A210" t="s" s="9">
        <v>379</v>
      </c>
      <c r="B210" s="24">
        <v>18264</v>
      </c>
      <c r="C210" t="s" s="11">
        <v>239</v>
      </c>
      <c r="D210" t="s" s="11">
        <v>237</v>
      </c>
      <c r="E210" s="13"/>
      <c r="F210" s="12">
        <v>50</v>
      </c>
      <c r="G210" s="12">
        <v>0.631</v>
      </c>
      <c r="H210" t="s" s="11">
        <v>441</v>
      </c>
      <c r="I210" s="13"/>
      <c r="J210" s="12">
        <v>0.8697</v>
      </c>
      <c r="K210" s="12">
        <v>0.9317</v>
      </c>
      <c r="L210" s="12">
        <v>0.3868</v>
      </c>
      <c r="M210" s="12">
        <v>0.6232</v>
      </c>
      <c r="N210" s="13"/>
      <c r="O210" s="13"/>
    </row>
    <row r="211" ht="32.05" customHeight="1">
      <c r="A211" t="s" s="9">
        <v>381</v>
      </c>
      <c r="B211" s="24">
        <v>18264</v>
      </c>
      <c r="C211" t="s" s="11">
        <v>239</v>
      </c>
      <c r="D211" t="s" s="11">
        <v>237</v>
      </c>
      <c r="E211" s="13"/>
      <c r="F211" s="12">
        <v>50</v>
      </c>
      <c r="G211" s="12">
        <v>0.6288</v>
      </c>
      <c r="H211" t="s" s="11">
        <v>442</v>
      </c>
      <c r="I211" s="13"/>
      <c r="J211" s="12">
        <v>0.8688</v>
      </c>
      <c r="K211" s="12">
        <v>0.9311</v>
      </c>
      <c r="L211" s="12">
        <v>0.3871</v>
      </c>
      <c r="M211" s="12">
        <v>0.6234</v>
      </c>
      <c r="N211" s="13"/>
      <c r="O211" s="13"/>
    </row>
    <row r="212" ht="32.05" customHeight="1">
      <c r="A212" t="s" s="9">
        <v>373</v>
      </c>
      <c r="B212" s="24">
        <v>18264</v>
      </c>
      <c r="C212" t="s" s="11">
        <v>239</v>
      </c>
      <c r="D212" t="s" s="11">
        <v>245</v>
      </c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</row>
    <row r="213" ht="32.05" customHeight="1">
      <c r="A213" t="s" s="9">
        <v>375</v>
      </c>
      <c r="B213" s="24">
        <v>18264</v>
      </c>
      <c r="C213" t="s" s="11">
        <v>239</v>
      </c>
      <c r="D213" t="s" s="11">
        <v>245</v>
      </c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</row>
    <row r="214" ht="32.05" customHeight="1">
      <c r="A214" t="s" s="9">
        <v>377</v>
      </c>
      <c r="B214" s="24">
        <v>18264</v>
      </c>
      <c r="C214" t="s" s="11">
        <v>239</v>
      </c>
      <c r="D214" t="s" s="11">
        <v>245</v>
      </c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</row>
    <row r="215" ht="32.05" customHeight="1">
      <c r="A215" t="s" s="9">
        <v>379</v>
      </c>
      <c r="B215" s="24">
        <v>18264</v>
      </c>
      <c r="C215" t="s" s="11">
        <v>239</v>
      </c>
      <c r="D215" t="s" s="11">
        <v>245</v>
      </c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</row>
    <row r="216" ht="32.05" customHeight="1">
      <c r="A216" t="s" s="9">
        <v>381</v>
      </c>
      <c r="B216" s="24">
        <v>18264</v>
      </c>
      <c r="C216" t="s" s="11">
        <v>239</v>
      </c>
      <c r="D216" t="s" s="11">
        <v>245</v>
      </c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</row>
    <row r="217" ht="20.05" customHeight="1">
      <c r="A217" t="s" s="9">
        <v>320</v>
      </c>
      <c r="B217" s="17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</row>
    <row r="218" ht="32.05" customHeight="1">
      <c r="A218" t="s" s="9">
        <v>373</v>
      </c>
      <c r="B218" t="s" s="10">
        <v>243</v>
      </c>
      <c r="C218" t="s" s="11">
        <v>239</v>
      </c>
      <c r="D218" t="s" s="11">
        <v>237</v>
      </c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</row>
    <row r="219" ht="32.05" customHeight="1">
      <c r="A219" t="s" s="9">
        <v>375</v>
      </c>
      <c r="B219" t="s" s="10">
        <v>243</v>
      </c>
      <c r="C219" t="s" s="11">
        <v>239</v>
      </c>
      <c r="D219" t="s" s="11">
        <v>237</v>
      </c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</row>
    <row r="220" ht="32.05" customHeight="1">
      <c r="A220" t="s" s="9">
        <v>377</v>
      </c>
      <c r="B220" t="s" s="10">
        <v>243</v>
      </c>
      <c r="C220" t="s" s="11">
        <v>239</v>
      </c>
      <c r="D220" t="s" s="11">
        <v>237</v>
      </c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</row>
    <row r="221" ht="32.05" customHeight="1">
      <c r="A221" t="s" s="9">
        <v>379</v>
      </c>
      <c r="B221" t="s" s="10">
        <v>243</v>
      </c>
      <c r="C221" t="s" s="11">
        <v>239</v>
      </c>
      <c r="D221" t="s" s="11">
        <v>237</v>
      </c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</row>
    <row r="222" ht="32.05" customHeight="1">
      <c r="A222" t="s" s="9">
        <v>381</v>
      </c>
      <c r="B222" t="s" s="10">
        <v>243</v>
      </c>
      <c r="C222" t="s" s="11">
        <v>239</v>
      </c>
      <c r="D222" t="s" s="11">
        <v>237</v>
      </c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</row>
    <row r="223" ht="32.05" customHeight="1">
      <c r="A223" t="s" s="9">
        <v>373</v>
      </c>
      <c r="B223" t="s" s="10">
        <v>243</v>
      </c>
      <c r="C223" t="s" s="11">
        <v>239</v>
      </c>
      <c r="D223" t="s" s="11">
        <v>245</v>
      </c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</row>
    <row r="224" ht="32.05" customHeight="1">
      <c r="A224" t="s" s="9">
        <v>375</v>
      </c>
      <c r="B224" t="s" s="10">
        <v>243</v>
      </c>
      <c r="C224" t="s" s="11">
        <v>239</v>
      </c>
      <c r="D224" t="s" s="11">
        <v>245</v>
      </c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</row>
    <row r="225" ht="32.05" customHeight="1">
      <c r="A225" t="s" s="9">
        <v>377</v>
      </c>
      <c r="B225" t="s" s="10">
        <v>243</v>
      </c>
      <c r="C225" t="s" s="11">
        <v>239</v>
      </c>
      <c r="D225" t="s" s="11">
        <v>245</v>
      </c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</row>
    <row r="226" ht="32.05" customHeight="1">
      <c r="A226" t="s" s="9">
        <v>379</v>
      </c>
      <c r="B226" t="s" s="10">
        <v>243</v>
      </c>
      <c r="C226" t="s" s="11">
        <v>239</v>
      </c>
      <c r="D226" t="s" s="11">
        <v>245</v>
      </c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</row>
    <row r="227" ht="32.05" customHeight="1">
      <c r="A227" t="s" s="9">
        <v>381</v>
      </c>
      <c r="B227" t="s" s="10">
        <v>243</v>
      </c>
      <c r="C227" t="s" s="11">
        <v>239</v>
      </c>
      <c r="D227" t="s" s="11">
        <v>245</v>
      </c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</row>
    <row r="228" ht="20.05" customHeight="1">
      <c r="A228" s="16"/>
      <c r="B228" s="17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</row>
    <row r="229" ht="20.05" customHeight="1">
      <c r="A229" s="16"/>
      <c r="B229" s="17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</row>
    <row r="230" ht="20.05" customHeight="1">
      <c r="A230" s="16"/>
      <c r="B230" s="17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</row>
    <row r="231" ht="20.05" customHeight="1">
      <c r="A231" s="16"/>
      <c r="B231" s="17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</row>
    <row r="232" ht="20.05" customHeight="1">
      <c r="A232" s="16"/>
      <c r="B232" s="17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</row>
    <row r="233" ht="20.05" customHeight="1">
      <c r="A233" s="16"/>
      <c r="B233" s="17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</row>
    <row r="234" ht="20.05" customHeight="1">
      <c r="A234" s="16"/>
      <c r="B234" s="17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</row>
    <row r="235" ht="20.05" customHeight="1">
      <c r="A235" s="16"/>
      <c r="B235" s="17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</row>
    <row r="236" ht="20.05" customHeight="1">
      <c r="A236" s="16"/>
      <c r="B236" s="17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</row>
    <row r="237" ht="20.05" customHeight="1">
      <c r="A237" s="16"/>
      <c r="B237" s="17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</row>
    <row r="238" ht="20.05" customHeight="1">
      <c r="A238" s="16"/>
      <c r="B238" s="17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</row>
    <row r="239" ht="20.05" customHeight="1">
      <c r="A239" s="16"/>
      <c r="B239" s="17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</row>
    <row r="240" ht="20.05" customHeight="1">
      <c r="A240" s="16"/>
      <c r="B240" s="17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</row>
    <row r="241" ht="20.05" customHeight="1">
      <c r="A241" s="16"/>
      <c r="B241" s="17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</row>
    <row r="242" ht="20.05" customHeight="1">
      <c r="A242" s="16"/>
      <c r="B242" s="17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</row>
    <row r="243" ht="20.05" customHeight="1">
      <c r="A243" s="16"/>
      <c r="B243" s="17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</row>
    <row r="244" ht="20.05" customHeight="1">
      <c r="A244" s="16"/>
      <c r="B244" s="17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</row>
    <row r="245" ht="20.05" customHeight="1">
      <c r="A245" s="16"/>
      <c r="B245" s="17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</row>
    <row r="246" ht="20.05" customHeight="1">
      <c r="A246" s="16"/>
      <c r="B246" s="17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</row>
    <row r="247" ht="20.05" customHeight="1">
      <c r="A247" s="16"/>
      <c r="B247" s="17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</row>
  </sheetData>
  <mergeCells count="1">
    <mergeCell ref="A1:O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2:O250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5" width="16.3516" style="33" customWidth="1"/>
    <col min="16" max="16384" width="16.3516" style="33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32.25" customHeight="1">
      <c r="A2" t="s" s="3">
        <v>1</v>
      </c>
      <c r="B2" t="s" s="3">
        <v>229</v>
      </c>
      <c r="C2" t="s" s="3">
        <v>2</v>
      </c>
      <c r="D2" t="s" s="3">
        <v>230</v>
      </c>
      <c r="E2" t="s" s="3">
        <v>3</v>
      </c>
      <c r="F2" t="s" s="3">
        <v>4</v>
      </c>
      <c r="G2" t="s" s="3">
        <v>5</v>
      </c>
      <c r="H2" t="s" s="3">
        <v>6</v>
      </c>
      <c r="I2" t="s" s="3">
        <v>302</v>
      </c>
      <c r="J2" t="s" s="3">
        <v>231</v>
      </c>
      <c r="K2" t="s" s="3">
        <v>232</v>
      </c>
      <c r="L2" t="s" s="3">
        <v>233</v>
      </c>
      <c r="M2" t="s" s="3">
        <v>234</v>
      </c>
      <c r="N2" t="s" s="3">
        <v>235</v>
      </c>
      <c r="O2" t="s" s="3">
        <v>8</v>
      </c>
    </row>
    <row r="3" ht="20.25" customHeight="1">
      <c r="A3" t="s" s="4">
        <v>443</v>
      </c>
      <c r="B3" s="34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35"/>
      <c r="O3" s="8"/>
    </row>
    <row r="4" ht="20.05" customHeight="1">
      <c r="A4" t="s" s="9">
        <v>444</v>
      </c>
      <c r="B4" s="17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</row>
    <row r="5" ht="32.05" customHeight="1">
      <c r="A5" t="s" s="9">
        <v>309</v>
      </c>
      <c r="B5" t="s" s="10">
        <v>445</v>
      </c>
      <c r="C5" t="s" s="11">
        <v>239</v>
      </c>
      <c r="D5" t="s" s="11">
        <v>237</v>
      </c>
      <c r="E5" s="13"/>
      <c r="F5" s="12">
        <v>26</v>
      </c>
      <c r="G5" s="12">
        <v>0.6499</v>
      </c>
      <c r="H5" t="s" s="11">
        <v>446</v>
      </c>
      <c r="I5" s="12">
        <v>0.9253</v>
      </c>
      <c r="J5" s="12">
        <v>0.8542</v>
      </c>
      <c r="K5" s="12">
        <v>0.9232</v>
      </c>
      <c r="L5" s="12">
        <v>0.2769</v>
      </c>
      <c r="M5" s="12">
        <v>0.5572</v>
      </c>
      <c r="N5" s="13"/>
      <c r="O5" s="13"/>
    </row>
    <row r="6" ht="32.05" customHeight="1">
      <c r="A6" t="s" s="9">
        <v>311</v>
      </c>
      <c r="B6" t="s" s="10">
        <v>445</v>
      </c>
      <c r="C6" t="s" s="11">
        <v>239</v>
      </c>
      <c r="D6" t="s" s="11">
        <v>237</v>
      </c>
      <c r="E6" s="13"/>
      <c r="F6" s="12">
        <v>93</v>
      </c>
      <c r="G6" s="12">
        <v>0.6138</v>
      </c>
      <c r="H6" t="s" s="11">
        <v>447</v>
      </c>
      <c r="I6" s="12">
        <v>0.9737</v>
      </c>
      <c r="J6" s="12">
        <v>0.8514</v>
      </c>
      <c r="K6" s="12">
        <v>0.9221</v>
      </c>
      <c r="L6" s="12">
        <v>0.3168</v>
      </c>
      <c r="M6" s="12">
        <v>0.5826</v>
      </c>
      <c r="N6" s="13"/>
      <c r="O6" s="13"/>
    </row>
    <row r="7" ht="32.05" customHeight="1">
      <c r="A7" t="s" s="9">
        <v>314</v>
      </c>
      <c r="B7" t="s" s="10">
        <v>445</v>
      </c>
      <c r="C7" t="s" s="11">
        <v>239</v>
      </c>
      <c r="D7" t="s" s="11">
        <v>237</v>
      </c>
      <c r="E7" s="13"/>
      <c r="F7" s="12">
        <v>95</v>
      </c>
      <c r="G7" s="12">
        <v>0.6242</v>
      </c>
      <c r="H7" t="s" s="11">
        <v>448</v>
      </c>
      <c r="I7" s="12">
        <v>0.9237</v>
      </c>
      <c r="J7" s="12">
        <v>0.8496</v>
      </c>
      <c r="K7" s="12">
        <v>0.9211</v>
      </c>
      <c r="L7" s="12">
        <v>0.2681</v>
      </c>
      <c r="M7" s="12">
        <v>0.5512</v>
      </c>
      <c r="N7" s="13"/>
      <c r="O7" s="13"/>
    </row>
    <row r="8" ht="32.05" customHeight="1">
      <c r="A8" t="s" s="9">
        <v>316</v>
      </c>
      <c r="B8" t="s" s="10">
        <v>445</v>
      </c>
      <c r="C8" t="s" s="11">
        <v>239</v>
      </c>
      <c r="D8" t="s" s="11">
        <v>237</v>
      </c>
      <c r="E8" s="13"/>
      <c r="F8" s="12">
        <v>97</v>
      </c>
      <c r="G8" s="12">
        <v>0.6222</v>
      </c>
      <c r="H8" s="12">
        <v>0.8293</v>
      </c>
      <c r="I8" s="12">
        <v>0.9978</v>
      </c>
      <c r="J8" s="12">
        <v>0.8342000000000001</v>
      </c>
      <c r="K8" s="12">
        <v>0.9124</v>
      </c>
      <c r="L8" s="12">
        <v>0.2945</v>
      </c>
      <c r="M8" s="12">
        <v>0.5616</v>
      </c>
      <c r="N8" s="13"/>
      <c r="O8" s="13"/>
    </row>
    <row r="9" ht="32.05" customHeight="1">
      <c r="A9" t="s" s="9">
        <v>318</v>
      </c>
      <c r="B9" t="s" s="10">
        <v>445</v>
      </c>
      <c r="C9" t="s" s="11">
        <v>239</v>
      </c>
      <c r="D9" t="s" s="11">
        <v>237</v>
      </c>
      <c r="E9" s="13"/>
      <c r="F9" s="12">
        <v>77</v>
      </c>
      <c r="G9" s="12">
        <v>0.6219</v>
      </c>
      <c r="H9" s="12">
        <v>0.7326</v>
      </c>
      <c r="I9" s="12">
        <v>0.9012</v>
      </c>
      <c r="J9" s="12">
        <v>0.8502</v>
      </c>
      <c r="K9" s="12">
        <v>0.9215</v>
      </c>
      <c r="L9" s="12">
        <v>0.3001</v>
      </c>
      <c r="M9" s="12">
        <v>0.5622</v>
      </c>
      <c r="N9" s="13"/>
      <c r="O9" s="13"/>
    </row>
    <row r="10" ht="20.05" customHeight="1">
      <c r="A10" t="s" s="9">
        <v>449</v>
      </c>
      <c r="B10" s="17"/>
      <c r="C10" s="13"/>
      <c r="D10" s="13"/>
      <c r="E10" s="13"/>
      <c r="F10" s="13"/>
      <c r="G10" s="13"/>
      <c r="H10" s="13"/>
      <c r="I10" s="12" cm="1">
        <f t="array" ref="I10">AVERAGE(I5:I9)</f>
        <v>0.94434</v>
      </c>
      <c r="J10" s="12" cm="1">
        <f t="array" ref="J10">AVERAGE(J5:J9)</f>
        <v>0.84792</v>
      </c>
      <c r="K10" s="12" cm="1">
        <f t="array" ref="K10">AVERAGE(K5:K9)</f>
        <v>0.92006</v>
      </c>
      <c r="L10" s="12" cm="1">
        <f t="array" ref="L10">AVERAGE(L5:L9)</f>
        <v>0.29128</v>
      </c>
      <c r="M10" s="12" cm="1">
        <f t="array" ref="M10">AVERAGE(M5:M9)</f>
        <v>0.56296</v>
      </c>
      <c r="N10" s="13"/>
      <c r="O10" s="13"/>
    </row>
    <row r="11" ht="20.05" customHeight="1">
      <c r="A11" t="s" s="9">
        <v>450</v>
      </c>
      <c r="B11" s="17"/>
      <c r="C11" s="13"/>
      <c r="D11" s="13"/>
      <c r="E11" s="13"/>
      <c r="F11" s="13"/>
      <c r="G11" s="13"/>
      <c r="H11" s="13"/>
      <c r="I11" s="12" cm="1">
        <f t="array" ref="I11">STDEV(I5:I9)</f>
        <v>0.0399047992101201</v>
      </c>
      <c r="J11" s="12" cm="1">
        <f t="array" ref="J11">STDEV(J5:J9)</f>
        <v>0.007870959280799259</v>
      </c>
      <c r="K11" s="12" cm="1">
        <f t="array" ref="K11">STDEV(K5:K9)</f>
        <v>0.00435465268419882</v>
      </c>
      <c r="L11" s="12" cm="1">
        <f t="array" ref="L11">STDEV(L5:L9)</f>
        <v>0.0192582969132787</v>
      </c>
      <c r="M11" s="12" cm="1">
        <f t="array" ref="M11">STDEV(M5:M9)</f>
        <v>0.0118282712177224</v>
      </c>
      <c r="N11" s="13"/>
      <c r="O11" s="13"/>
    </row>
    <row r="12" ht="20.05" customHeight="1">
      <c r="A12" t="s" s="9">
        <v>451</v>
      </c>
      <c r="B12" s="17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</row>
    <row r="13" ht="32.05" customHeight="1">
      <c r="A13" t="s" s="9">
        <v>309</v>
      </c>
      <c r="B13" t="s" s="10">
        <v>445</v>
      </c>
      <c r="C13" t="s" s="11">
        <v>239</v>
      </c>
      <c r="D13" t="s" s="11">
        <v>245</v>
      </c>
      <c r="E13" s="13"/>
      <c r="F13" s="12">
        <v>37</v>
      </c>
      <c r="G13" s="12">
        <v>0.6424</v>
      </c>
      <c r="H13" s="12">
        <v>0.7602</v>
      </c>
      <c r="I13" s="12">
        <v>0.9264</v>
      </c>
      <c r="J13" s="12">
        <v>0.8538</v>
      </c>
      <c r="K13" s="12">
        <v>0.923</v>
      </c>
      <c r="L13" s="12">
        <v>0.273</v>
      </c>
      <c r="M13" s="12">
        <v>0.554</v>
      </c>
      <c r="N13" s="13"/>
      <c r="O13" s="13"/>
    </row>
    <row r="14" ht="32.05" customHeight="1">
      <c r="A14" t="s" s="9">
        <v>311</v>
      </c>
      <c r="B14" t="s" s="10">
        <v>445</v>
      </c>
      <c r="C14" t="s" s="11">
        <v>239</v>
      </c>
      <c r="D14" t="s" s="11">
        <v>245</v>
      </c>
      <c r="E14" s="13"/>
      <c r="F14" s="12">
        <v>79</v>
      </c>
      <c r="G14" s="12">
        <v>0.6085</v>
      </c>
      <c r="H14" s="12">
        <v>0.7931</v>
      </c>
      <c r="I14" s="12">
        <v>0.969</v>
      </c>
      <c r="J14" s="12">
        <v>0.852</v>
      </c>
      <c r="K14" s="12">
        <v>0.9224</v>
      </c>
      <c r="L14" s="12">
        <v>0.3245</v>
      </c>
      <c r="M14" s="12">
        <v>0.5862000000000001</v>
      </c>
      <c r="N14" s="13"/>
      <c r="O14" s="13"/>
    </row>
    <row r="15" ht="32.05" customHeight="1">
      <c r="A15" t="s" s="9">
        <v>314</v>
      </c>
      <c r="B15" t="s" s="10">
        <v>445</v>
      </c>
      <c r="C15" t="s" s="11">
        <v>239</v>
      </c>
      <c r="D15" t="s" s="11">
        <v>245</v>
      </c>
      <c r="E15" s="13"/>
      <c r="F15" s="12">
        <v>59</v>
      </c>
      <c r="G15" s="12">
        <v>0.6253</v>
      </c>
      <c r="H15" s="12">
        <v>0.7439</v>
      </c>
      <c r="I15" s="12">
        <v>0.9243</v>
      </c>
      <c r="J15" s="12">
        <v>0.8498</v>
      </c>
      <c r="K15" s="12">
        <v>0.9212</v>
      </c>
      <c r="L15" s="12">
        <v>0.2688</v>
      </c>
      <c r="M15" s="12">
        <v>0.5492</v>
      </c>
      <c r="N15" s="13"/>
      <c r="O15" s="13"/>
    </row>
    <row r="16" ht="32.05" customHeight="1">
      <c r="A16" t="s" s="9">
        <v>316</v>
      </c>
      <c r="B16" t="s" s="10">
        <v>445</v>
      </c>
      <c r="C16" t="s" s="11">
        <v>239</v>
      </c>
      <c r="D16" t="s" s="11">
        <v>245</v>
      </c>
      <c r="E16" s="13"/>
      <c r="F16" s="12">
        <v>66</v>
      </c>
      <c r="G16" s="12">
        <v>0.6324</v>
      </c>
      <c r="H16" s="12">
        <v>0.8305</v>
      </c>
      <c r="I16" s="12">
        <v>0.9991</v>
      </c>
      <c r="J16" s="12">
        <v>0.8336</v>
      </c>
      <c r="K16" s="12">
        <v>0.9122</v>
      </c>
      <c r="L16" s="12">
        <v>0.2901</v>
      </c>
      <c r="M16" s="12">
        <v>0.5619</v>
      </c>
      <c r="N16" s="13"/>
      <c r="O16" s="13"/>
    </row>
    <row r="17" ht="32.05" customHeight="1">
      <c r="A17" t="s" s="9">
        <v>318</v>
      </c>
      <c r="B17" t="s" s="10">
        <v>445</v>
      </c>
      <c r="C17" t="s" s="11">
        <v>239</v>
      </c>
      <c r="D17" t="s" s="11">
        <v>245</v>
      </c>
      <c r="E17" s="13"/>
      <c r="F17" s="12">
        <v>45</v>
      </c>
      <c r="G17" s="12">
        <v>0.6365</v>
      </c>
      <c r="H17" s="12">
        <v>0.7348</v>
      </c>
      <c r="I17" s="12">
        <v>0.9032</v>
      </c>
      <c r="J17" s="12">
        <v>0.8498</v>
      </c>
      <c r="K17" s="12">
        <v>0.9212</v>
      </c>
      <c r="L17" s="12">
        <v>0.2975</v>
      </c>
      <c r="M17" s="12">
        <v>0.5612</v>
      </c>
      <c r="N17" s="13"/>
      <c r="O17" s="13"/>
    </row>
    <row r="18" ht="20.05" customHeight="1">
      <c r="A18" t="s" s="9">
        <v>449</v>
      </c>
      <c r="B18" s="17"/>
      <c r="C18" s="13"/>
      <c r="D18" s="13"/>
      <c r="E18" s="13"/>
      <c r="F18" s="13"/>
      <c r="G18" s="13"/>
      <c r="H18" s="13"/>
      <c r="I18" s="12" cm="1">
        <f t="array" ref="I18">AVERAGE(I13:I17)</f>
        <v>0.9444</v>
      </c>
      <c r="J18" s="12" cm="1">
        <f t="array" ref="J18">AVERAGE(J13:J17)</f>
        <v>0.8478</v>
      </c>
      <c r="K18" s="12" cm="1">
        <f t="array" ref="K18">AVERAGE(K13:K17)</f>
        <v>0.92</v>
      </c>
      <c r="L18" s="12" cm="1">
        <f t="array" ref="L18">AVERAGE(L13:L17)</f>
        <v>0.29078</v>
      </c>
      <c r="M18" s="12" cm="1">
        <f t="array" ref="M18">AVERAGE(M13:M17)</f>
        <v>0.5625</v>
      </c>
      <c r="N18" s="13"/>
      <c r="O18" s="13"/>
    </row>
    <row r="19" ht="20.05" customHeight="1">
      <c r="A19" t="s" s="9">
        <v>450</v>
      </c>
      <c r="B19" s="17"/>
      <c r="C19" s="13"/>
      <c r="D19" s="13"/>
      <c r="E19" s="13"/>
      <c r="F19" s="13"/>
      <c r="G19" s="13"/>
      <c r="H19" s="13"/>
      <c r="I19" s="12" cm="1">
        <f t="array" ref="I19">STDEV(I13:I17)</f>
        <v>0.0388030282323429</v>
      </c>
      <c r="J19" s="12" cm="1">
        <f t="array" ref="J19">STDEV(J13:J17)</f>
        <v>0.00811295260678873</v>
      </c>
      <c r="K19" s="12" cm="1">
        <f t="array" ref="K19">STDEV(K13:K17)</f>
        <v>0.00442944691807002</v>
      </c>
      <c r="L19" s="12" cm="1">
        <f t="array" ref="L19">STDEV(L13:L17)</f>
        <v>0.0222593126578518</v>
      </c>
      <c r="M19" s="12" cm="1">
        <f t="array" ref="M19">STDEV(M13:M17)</f>
        <v>0.0142555252446201</v>
      </c>
      <c r="N19" s="13"/>
      <c r="O19" s="13"/>
    </row>
    <row r="20" ht="20.05" customHeight="1">
      <c r="A20" s="16"/>
      <c r="B20" s="17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</row>
    <row r="21" ht="20.05" customHeight="1">
      <c r="A21" s="16"/>
      <c r="B21" s="17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</row>
    <row r="22" ht="32.05" customHeight="1">
      <c r="A22" t="s" s="9">
        <v>452</v>
      </c>
      <c r="B22" s="17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</row>
    <row r="23" ht="20.05" customHeight="1">
      <c r="A23" t="s" s="9">
        <v>444</v>
      </c>
      <c r="B23" s="17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</row>
    <row r="24" ht="20.05" customHeight="1">
      <c r="A24" t="s" s="9">
        <v>334</v>
      </c>
      <c r="B24" s="17"/>
      <c r="C24" s="13"/>
      <c r="D24" s="13"/>
      <c r="E24" s="13"/>
      <c r="F24" s="12">
        <v>92</v>
      </c>
      <c r="G24" s="12">
        <v>0.6191</v>
      </c>
      <c r="H24" s="12">
        <v>0.615</v>
      </c>
      <c r="I24" s="12">
        <v>0.8005</v>
      </c>
      <c r="J24" s="12">
        <v>0.8687</v>
      </c>
      <c r="K24" s="12">
        <v>0.9311</v>
      </c>
      <c r="L24" s="12">
        <v>0.3793</v>
      </c>
      <c r="M24" s="12">
        <v>0.6185</v>
      </c>
      <c r="N24" s="13"/>
      <c r="O24" s="13"/>
    </row>
    <row r="25" ht="20.05" customHeight="1">
      <c r="A25" t="s" s="9">
        <v>336</v>
      </c>
      <c r="B25" s="17"/>
      <c r="C25" s="13"/>
      <c r="D25" s="13"/>
      <c r="E25" s="13"/>
      <c r="F25" s="12">
        <v>92</v>
      </c>
      <c r="G25" s="12">
        <v>0.6136</v>
      </c>
      <c r="H25" s="12">
        <v>0.611</v>
      </c>
      <c r="I25" s="12">
        <v>0.7973</v>
      </c>
      <c r="J25" s="12">
        <v>0.8706</v>
      </c>
      <c r="K25" s="12">
        <v>0.9321</v>
      </c>
      <c r="L25" s="12">
        <v>0.3822</v>
      </c>
      <c r="M25" s="12">
        <v>0.6208</v>
      </c>
      <c r="N25" s="13"/>
      <c r="O25" s="13"/>
    </row>
    <row r="26" ht="20.05" customHeight="1">
      <c r="A26" t="s" s="9">
        <v>338</v>
      </c>
      <c r="B26" s="17"/>
      <c r="C26" s="13"/>
      <c r="D26" s="13"/>
      <c r="E26" s="13"/>
      <c r="F26" s="12">
        <v>92</v>
      </c>
      <c r="G26" s="12">
        <v>0.6234</v>
      </c>
      <c r="H26" s="12">
        <v>0.643</v>
      </c>
      <c r="I26" s="12">
        <v>0.8307</v>
      </c>
      <c r="J26" s="12">
        <v>0.8633999999999999</v>
      </c>
      <c r="K26" s="12">
        <v>0.9283</v>
      </c>
      <c r="L26" s="12">
        <v>0.3871</v>
      </c>
      <c r="M26" s="12">
        <v>0.6254999999999999</v>
      </c>
      <c r="N26" s="13"/>
      <c r="O26" s="13"/>
    </row>
    <row r="27" ht="20.05" customHeight="1">
      <c r="A27" t="s" s="9">
        <v>340</v>
      </c>
      <c r="B27" s="17"/>
      <c r="C27" s="13"/>
      <c r="D27" s="13"/>
      <c r="E27" s="13"/>
      <c r="F27" s="12">
        <v>92</v>
      </c>
      <c r="G27" s="12">
        <v>0.6181</v>
      </c>
      <c r="H27" s="12">
        <v>0.6299</v>
      </c>
      <c r="I27" s="12">
        <v>0.8148</v>
      </c>
      <c r="J27" s="12">
        <v>0.8675</v>
      </c>
      <c r="K27" s="12">
        <v>0.9304</v>
      </c>
      <c r="L27" s="12">
        <v>0.3762</v>
      </c>
      <c r="M27" s="12">
        <v>0.6163</v>
      </c>
      <c r="N27" s="13"/>
      <c r="O27" s="13"/>
    </row>
    <row r="28" ht="20.05" customHeight="1">
      <c r="A28" t="s" s="9">
        <v>342</v>
      </c>
      <c r="B28" s="17"/>
      <c r="C28" s="13"/>
      <c r="D28" s="13"/>
      <c r="E28" s="13"/>
      <c r="F28" s="12">
        <v>92</v>
      </c>
      <c r="G28" s="12">
        <v>0.6176</v>
      </c>
      <c r="H28" s="12">
        <v>0.6097</v>
      </c>
      <c r="I28" s="12">
        <v>0.7982</v>
      </c>
      <c r="J28" s="12">
        <v>0.8663999999999999</v>
      </c>
      <c r="K28" s="12">
        <v>0.93</v>
      </c>
      <c r="L28" s="12">
        <v>0.392</v>
      </c>
      <c r="M28" s="12">
        <v>0.6284</v>
      </c>
      <c r="N28" s="13"/>
      <c r="O28" s="13"/>
    </row>
    <row r="29" ht="20.05" customHeight="1">
      <c r="A29" t="s" s="9">
        <v>449</v>
      </c>
      <c r="B29" s="17"/>
      <c r="C29" s="13"/>
      <c r="D29" s="13"/>
      <c r="E29" s="13"/>
      <c r="F29" s="13"/>
      <c r="G29" s="13"/>
      <c r="H29" s="13"/>
      <c r="I29" s="12" cm="1">
        <f t="array" ref="I29">AVERAGE(I24:I28)</f>
        <v>0.8083</v>
      </c>
      <c r="J29" s="12" cm="1">
        <f t="array" ref="J29">AVERAGE(J24:J28)</f>
        <v>0.86732</v>
      </c>
      <c r="K29" s="12" cm="1">
        <f t="array" ref="K29">AVERAGE(K24:K28)</f>
        <v>0.93038</v>
      </c>
      <c r="L29" s="12" cm="1">
        <f t="array" ref="L29">AVERAGE(L24:L28)</f>
        <v>0.38336</v>
      </c>
      <c r="M29" s="12" cm="1">
        <f t="array" ref="M29">AVERAGE(M24:M28)</f>
        <v>0.6219</v>
      </c>
      <c r="N29" s="13"/>
      <c r="O29" s="13"/>
    </row>
    <row r="30" ht="20.05" customHeight="1">
      <c r="A30" t="s" s="9">
        <v>450</v>
      </c>
      <c r="B30" s="17"/>
      <c r="C30" s="13"/>
      <c r="D30" s="13"/>
      <c r="E30" s="13"/>
      <c r="F30" s="13"/>
      <c r="G30" s="13"/>
      <c r="H30" s="13"/>
      <c r="I30" s="12" cm="1">
        <f t="array" ref="I30">STDEV(I24:I28)</f>
        <v>0.0143862781844367</v>
      </c>
      <c r="J30" s="12" cm="1">
        <f t="array" ref="J30">STDEV(J24:J28)</f>
        <v>0.00268830801806638</v>
      </c>
      <c r="K30" s="12" cm="1">
        <f t="array" ref="K30">STDEV(K24:K28)</f>
        <v>0.00140960987510729</v>
      </c>
      <c r="L30" s="12" cm="1">
        <f t="array" ref="L30">STDEV(L24:L28)</f>
        <v>0.00627957004897628</v>
      </c>
      <c r="M30" s="12" cm="1">
        <f t="array" ref="M30">STDEV(M24:M28)</f>
        <v>0.00498347268478518</v>
      </c>
      <c r="N30" s="13"/>
      <c r="O30" s="13"/>
    </row>
    <row r="31" ht="32.05" customHeight="1">
      <c r="A31" t="s" s="9">
        <v>453</v>
      </c>
      <c r="B31" s="17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</row>
    <row r="32" ht="20.05" customHeight="1">
      <c r="A32" t="s" s="9">
        <v>334</v>
      </c>
      <c r="B32" s="17"/>
      <c r="C32" s="13"/>
      <c r="D32" s="13"/>
      <c r="E32" s="13"/>
      <c r="F32" s="12">
        <v>92</v>
      </c>
      <c r="G32" s="12">
        <v>0.614</v>
      </c>
      <c r="H32" s="12">
        <v>0.6179</v>
      </c>
      <c r="I32" s="12">
        <v>0.8033</v>
      </c>
      <c r="J32" s="12">
        <v>0.8683</v>
      </c>
      <c r="K32" s="12">
        <v>0.9308999999999999</v>
      </c>
      <c r="L32" s="12">
        <v>0.3793</v>
      </c>
      <c r="M32" s="12">
        <v>0.618</v>
      </c>
      <c r="N32" s="13"/>
      <c r="O32" s="13"/>
    </row>
    <row r="33" ht="20.05" customHeight="1">
      <c r="A33" t="s" s="9">
        <v>336</v>
      </c>
      <c r="B33" s="17"/>
      <c r="C33" s="13"/>
      <c r="D33" s="13"/>
      <c r="E33" s="13"/>
      <c r="F33" s="12">
        <v>100</v>
      </c>
      <c r="G33" s="12">
        <v>0.6105</v>
      </c>
      <c r="H33" s="12">
        <v>0.6136</v>
      </c>
      <c r="I33" s="12">
        <v>0.7996</v>
      </c>
      <c r="J33" s="12">
        <v>0.8702</v>
      </c>
      <c r="K33" s="12">
        <v>0.9319</v>
      </c>
      <c r="L33" s="12">
        <v>0.381</v>
      </c>
      <c r="M33" s="12">
        <v>0.6198</v>
      </c>
      <c r="N33" s="13"/>
      <c r="O33" s="13"/>
    </row>
    <row r="34" ht="20.05" customHeight="1">
      <c r="A34" t="s" s="9">
        <v>338</v>
      </c>
      <c r="B34" s="17"/>
      <c r="C34" s="13"/>
      <c r="D34" s="13"/>
      <c r="E34" s="13"/>
      <c r="F34" s="12">
        <v>92</v>
      </c>
      <c r="G34" s="12">
        <v>0.6244</v>
      </c>
      <c r="H34" s="12">
        <v>0.6859</v>
      </c>
      <c r="I34" s="12">
        <v>0.8689</v>
      </c>
      <c r="J34" s="12">
        <v>0.8555</v>
      </c>
      <c r="K34" s="12">
        <v>0.9242</v>
      </c>
      <c r="L34" s="12">
        <v>0.3711</v>
      </c>
      <c r="M34" s="12">
        <v>0.6101</v>
      </c>
      <c r="N34" s="13"/>
      <c r="O34" s="13"/>
    </row>
    <row r="35" ht="20.05" customHeight="1">
      <c r="A35" t="s" s="9">
        <v>340</v>
      </c>
      <c r="B35" s="17"/>
      <c r="C35" s="13"/>
      <c r="D35" s="13"/>
      <c r="E35" s="13"/>
      <c r="F35" s="12">
        <v>92</v>
      </c>
      <c r="G35" s="12">
        <v>0.6156</v>
      </c>
      <c r="H35" s="12">
        <v>0.6264999999999999</v>
      </c>
      <c r="I35" s="12">
        <v>0.8119</v>
      </c>
      <c r="J35" s="12">
        <v>0.8679</v>
      </c>
      <c r="K35" s="12">
        <v>0.9307</v>
      </c>
      <c r="L35" s="12">
        <v>0.3798</v>
      </c>
      <c r="M35" s="12">
        <v>0.6181</v>
      </c>
      <c r="N35" s="13"/>
      <c r="O35" s="13"/>
    </row>
    <row r="36" ht="20.05" customHeight="1">
      <c r="A36" t="s" s="9">
        <v>342</v>
      </c>
      <c r="B36" s="17"/>
      <c r="C36" s="13"/>
      <c r="D36" s="13"/>
      <c r="E36" s="13"/>
      <c r="F36" s="12">
        <v>92</v>
      </c>
      <c r="G36" s="12">
        <v>0.6143999999999999</v>
      </c>
      <c r="H36" s="12">
        <v>0.6319</v>
      </c>
      <c r="I36" s="12">
        <v>0.8187</v>
      </c>
      <c r="J36" s="12">
        <v>0.8623</v>
      </c>
      <c r="K36" s="12">
        <v>0.9277</v>
      </c>
      <c r="L36" s="12">
        <v>0.3831</v>
      </c>
      <c r="M36" s="12">
        <v>0.6225000000000001</v>
      </c>
      <c r="N36" s="13"/>
      <c r="O36" s="13"/>
    </row>
    <row r="37" ht="20.05" customHeight="1">
      <c r="A37" t="s" s="9">
        <v>449</v>
      </c>
      <c r="B37" s="17"/>
      <c r="C37" s="13"/>
      <c r="D37" s="13"/>
      <c r="E37" s="13"/>
      <c r="F37" s="13"/>
      <c r="G37" s="13"/>
      <c r="H37" s="13"/>
      <c r="I37" s="12" cm="1">
        <f t="array" ref="I37">AVERAGE(I32:I36)</f>
        <v>0.82048</v>
      </c>
      <c r="J37" s="12" cm="1">
        <f t="array" ref="J37">AVERAGE(J32:J36)</f>
        <v>0.8648400000000001</v>
      </c>
      <c r="K37" s="12" cm="1">
        <f t="array" ref="K37">AVERAGE(K32:K36)</f>
        <v>0.92908</v>
      </c>
      <c r="L37" s="12" cm="1">
        <f t="array" ref="L37">AVERAGE(L32:L36)</f>
        <v>0.37886</v>
      </c>
      <c r="M37" s="12" cm="1">
        <f t="array" ref="M37">AVERAGE(M32:M36)</f>
        <v>0.6177</v>
      </c>
      <c r="N37" s="13"/>
      <c r="O37" s="13"/>
    </row>
    <row r="38" ht="20.05" customHeight="1">
      <c r="A38" t="s" s="9">
        <v>450</v>
      </c>
      <c r="B38" s="17"/>
      <c r="C38" s="13"/>
      <c r="D38" s="13"/>
      <c r="E38" s="13"/>
      <c r="F38" s="13"/>
      <c r="G38" s="13"/>
      <c r="H38" s="13"/>
      <c r="I38" s="12" cm="1">
        <f t="array" ref="I38">STDEV(I32:I36)</f>
        <v>0.0280731544362225</v>
      </c>
      <c r="J38" s="12" cm="1">
        <f t="array" ref="J38">STDEV(J32:J36)</f>
        <v>0.00599483110687866</v>
      </c>
      <c r="K38" s="12" cm="1">
        <f t="array" ref="K38">STDEV(K32:K36)</f>
        <v>0.0031467443493236</v>
      </c>
      <c r="L38" s="12" cm="1">
        <f t="array" ref="L38">STDEV(L32:L36)</f>
        <v>0.0045785368842022</v>
      </c>
      <c r="M38" s="12" cm="1">
        <f t="array" ref="M38">STDEV(M32:M36)</f>
        <v>0.00462222889956783</v>
      </c>
      <c r="N38" s="13"/>
      <c r="O38" s="13"/>
    </row>
    <row r="39" ht="20.05" customHeight="1">
      <c r="A39" s="16"/>
      <c r="B39" s="17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</row>
    <row r="40" ht="32.05" customHeight="1">
      <c r="A40" t="s" s="9">
        <v>452</v>
      </c>
      <c r="B40" s="17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</row>
    <row r="41" ht="20.05" customHeight="1">
      <c r="A41" t="s" s="9">
        <v>454</v>
      </c>
      <c r="B41" s="17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</row>
    <row r="42" ht="20.05" customHeight="1">
      <c r="A42" t="s" s="9">
        <v>334</v>
      </c>
      <c r="B42" s="17"/>
      <c r="C42" s="13"/>
      <c r="D42" s="13"/>
      <c r="E42" s="13"/>
      <c r="F42" s="12">
        <v>192</v>
      </c>
      <c r="G42" s="12">
        <v>0.6022</v>
      </c>
      <c r="H42" s="12">
        <v>0.6057</v>
      </c>
      <c r="I42" s="12">
        <v>0.7929</v>
      </c>
      <c r="J42" s="12">
        <v>0.8699</v>
      </c>
      <c r="K42" s="12">
        <v>0.9318</v>
      </c>
      <c r="L42" s="12">
        <v>0.3857</v>
      </c>
      <c r="M42" s="12">
        <v>0.6241</v>
      </c>
      <c r="N42" s="13"/>
      <c r="O42" s="13"/>
    </row>
    <row r="43" ht="20.05" customHeight="1">
      <c r="A43" t="s" s="9">
        <v>336</v>
      </c>
      <c r="B43" s="17"/>
      <c r="C43" s="13"/>
      <c r="D43" s="13"/>
      <c r="E43" s="13"/>
      <c r="F43" s="12">
        <v>182</v>
      </c>
      <c r="G43" s="12">
        <v>0.5971</v>
      </c>
      <c r="H43" s="12">
        <v>0.6024</v>
      </c>
      <c r="I43" s="12">
        <v>0.7903</v>
      </c>
      <c r="J43" s="12">
        <v>0.8717</v>
      </c>
      <c r="K43" s="12">
        <v>0.9327</v>
      </c>
      <c r="L43" s="12">
        <v>0.3883</v>
      </c>
      <c r="M43" s="12">
        <v>0.6264999999999999</v>
      </c>
      <c r="N43" s="13"/>
      <c r="O43" s="13"/>
    </row>
    <row r="44" ht="20.05" customHeight="1">
      <c r="A44" t="s" s="9">
        <v>338</v>
      </c>
      <c r="B44" s="17"/>
      <c r="C44" s="13"/>
      <c r="D44" s="13"/>
      <c r="E44" s="13"/>
      <c r="F44" s="12">
        <v>191</v>
      </c>
      <c r="G44" s="12">
        <v>0.6075</v>
      </c>
      <c r="H44" s="12">
        <v>0.6319</v>
      </c>
      <c r="I44" s="12">
        <v>0.8214</v>
      </c>
      <c r="J44" s="12">
        <v>0.8648</v>
      </c>
      <c r="K44" s="12">
        <v>0.9291</v>
      </c>
      <c r="L44" s="12">
        <v>0.3944</v>
      </c>
      <c r="M44" s="12">
        <v>0.6319</v>
      </c>
      <c r="N44" s="13"/>
      <c r="O44" s="13"/>
    </row>
    <row r="45" ht="20.05" customHeight="1">
      <c r="A45" t="s" s="9">
        <v>340</v>
      </c>
      <c r="B45" s="17"/>
      <c r="C45" s="13"/>
      <c r="D45" s="13"/>
      <c r="E45" s="13"/>
      <c r="F45" s="12">
        <v>192</v>
      </c>
      <c r="G45" s="12">
        <v>0.5999</v>
      </c>
      <c r="H45" s="12">
        <v>0.6167</v>
      </c>
      <c r="I45" s="12">
        <v>0.8038</v>
      </c>
      <c r="J45" s="12">
        <v>0.8693</v>
      </c>
      <c r="K45" s="12">
        <v>0.9313</v>
      </c>
      <c r="L45" s="12">
        <v>0.3852</v>
      </c>
      <c r="M45" s="12">
        <v>0.6237</v>
      </c>
      <c r="N45" s="13"/>
      <c r="O45" s="13"/>
    </row>
    <row r="46" ht="20.05" customHeight="1">
      <c r="A46" t="s" s="9">
        <v>342</v>
      </c>
      <c r="B46" s="17"/>
      <c r="C46" s="13"/>
      <c r="D46" s="13"/>
      <c r="E46" s="13"/>
      <c r="F46" s="12">
        <v>112</v>
      </c>
      <c r="G46" s="12">
        <v>0.6127</v>
      </c>
      <c r="H46" s="12">
        <v>0.6092</v>
      </c>
      <c r="I46" s="12">
        <v>0.7981</v>
      </c>
      <c r="J46" s="12">
        <v>0.8663</v>
      </c>
      <c r="K46" s="12">
        <v>0.9298999999999999</v>
      </c>
      <c r="L46" s="12">
        <v>0.3924</v>
      </c>
      <c r="M46" s="12">
        <v>0.6297</v>
      </c>
      <c r="N46" s="13"/>
      <c r="O46" s="13"/>
    </row>
    <row r="47" ht="20.05" customHeight="1">
      <c r="A47" t="s" s="9">
        <v>449</v>
      </c>
      <c r="B47" s="17"/>
      <c r="C47" s="13"/>
      <c r="D47" s="13"/>
      <c r="E47" s="13"/>
      <c r="F47" s="13"/>
      <c r="G47" s="13"/>
      <c r="H47" s="13"/>
      <c r="I47" s="12" cm="1">
        <f t="array" ref="I47">AVERAGE(I42:I46)</f>
        <v>0.8013</v>
      </c>
      <c r="J47" s="12" cm="1">
        <f t="array" ref="J47">AVERAGE(J42:J46)</f>
        <v>0.8683999999999999</v>
      </c>
      <c r="K47" s="12" cm="1">
        <f t="array" ref="K47">AVERAGE(K42:K46)</f>
        <v>0.93096</v>
      </c>
      <c r="L47" s="12" cm="1">
        <f t="array" ref="L47">AVERAGE(L42:L46)</f>
        <v>0.3892</v>
      </c>
      <c r="M47" s="12" cm="1">
        <f t="array" ref="M47">AVERAGE(M42:M46)</f>
        <v>0.62718</v>
      </c>
      <c r="N47" s="13"/>
      <c r="O47" s="13"/>
    </row>
    <row r="48" ht="20.05" customHeight="1">
      <c r="A48" t="s" s="9">
        <v>450</v>
      </c>
      <c r="B48" s="17"/>
      <c r="C48" s="13"/>
      <c r="D48" s="13"/>
      <c r="E48" s="13"/>
      <c r="F48" s="13"/>
      <c r="G48" s="13"/>
      <c r="H48" s="13"/>
      <c r="I48" s="12" cm="1">
        <f t="array" ref="I48">STDEV(I42:I46)</f>
        <v>0.012369923201055</v>
      </c>
      <c r="J48" s="12" cm="1">
        <f t="array" ref="J48">STDEV(J42:J46)</f>
        <v>0.00279821371592664</v>
      </c>
      <c r="K48" s="12" cm="1">
        <f t="array" ref="K48">STDEV(K42:K46)</f>
        <v>0.00145189531303052</v>
      </c>
      <c r="L48" s="12" cm="1">
        <f t="array" ref="L48">STDEV(L42:L46)</f>
        <v>0.00407246853885945</v>
      </c>
      <c r="M48" s="12" cm="1">
        <f t="array" ref="M48">STDEV(M42:M46)</f>
        <v>0.00355977527380592</v>
      </c>
      <c r="N48" s="13"/>
      <c r="O48" s="13"/>
    </row>
    <row r="49" ht="32.05" customHeight="1">
      <c r="A49" t="s" s="9">
        <v>453</v>
      </c>
      <c r="B49" s="17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</row>
    <row r="50" ht="20.05" customHeight="1">
      <c r="A50" t="s" s="9">
        <v>334</v>
      </c>
      <c r="B50" s="17"/>
      <c r="C50" s="13"/>
      <c r="D50" s="13"/>
      <c r="E50" s="13"/>
      <c r="F50" s="12">
        <v>191</v>
      </c>
      <c r="G50" s="12">
        <v>0.597</v>
      </c>
      <c r="H50" s="12">
        <v>0.6075</v>
      </c>
      <c r="I50" s="12">
        <v>0.7946</v>
      </c>
      <c r="J50" s="12">
        <v>0.8695000000000001</v>
      </c>
      <c r="K50" s="12">
        <v>0.9316</v>
      </c>
      <c r="L50" s="12">
        <v>0.3846</v>
      </c>
      <c r="M50" s="12">
        <v>0.6238</v>
      </c>
      <c r="N50" s="13"/>
      <c r="O50" s="13"/>
    </row>
    <row r="51" ht="20.05" customHeight="1">
      <c r="A51" t="s" s="9">
        <v>336</v>
      </c>
      <c r="B51" s="17"/>
      <c r="C51" s="13"/>
      <c r="D51" s="13"/>
      <c r="E51" s="13"/>
      <c r="F51" s="12">
        <v>182</v>
      </c>
      <c r="G51" s="12">
        <v>0.5937</v>
      </c>
      <c r="H51" s="12">
        <v>0.6041</v>
      </c>
      <c r="I51" s="12">
        <v>0.7917999999999999</v>
      </c>
      <c r="J51" s="12">
        <v>0.8714</v>
      </c>
      <c r="K51" s="12">
        <v>0.9326</v>
      </c>
      <c r="L51" s="12">
        <v>0.3879</v>
      </c>
      <c r="M51" s="12">
        <v>0.6256</v>
      </c>
      <c r="N51" s="13"/>
      <c r="O51" s="13"/>
    </row>
    <row r="52" ht="20.05" customHeight="1">
      <c r="A52" t="s" s="9">
        <v>338</v>
      </c>
      <c r="B52" s="17"/>
      <c r="C52" s="13"/>
      <c r="D52" s="13"/>
      <c r="E52" s="13"/>
      <c r="F52" s="12">
        <v>192</v>
      </c>
      <c r="G52" s="12">
        <v>0.6064000000000001</v>
      </c>
      <c r="H52" s="12">
        <v>0.6771</v>
      </c>
      <c r="I52" s="12">
        <v>0.8614000000000001</v>
      </c>
      <c r="J52" s="12">
        <v>0.8565</v>
      </c>
      <c r="K52" s="12">
        <v>0.9248</v>
      </c>
      <c r="L52" s="12">
        <v>0.3762</v>
      </c>
      <c r="M52" s="12">
        <v>0.6143999999999999</v>
      </c>
      <c r="N52" s="13"/>
      <c r="O52" s="13"/>
    </row>
    <row r="53" ht="20.05" customHeight="1">
      <c r="A53" t="s" s="9">
        <v>340</v>
      </c>
      <c r="B53" s="17"/>
      <c r="C53" s="13"/>
      <c r="D53" s="13"/>
      <c r="E53" s="13"/>
      <c r="F53" s="12">
        <v>192</v>
      </c>
      <c r="G53" s="12">
        <v>0.5951</v>
      </c>
      <c r="H53" s="12">
        <v>0.6159</v>
      </c>
      <c r="I53" s="12">
        <v>0.8033</v>
      </c>
      <c r="J53" s="12">
        <v>0.8694</v>
      </c>
      <c r="K53" s="12">
        <v>0.9314</v>
      </c>
      <c r="L53" s="12">
        <v>0.387</v>
      </c>
      <c r="M53" s="12">
        <v>0.6245000000000001</v>
      </c>
      <c r="N53" s="13"/>
      <c r="O53" s="13"/>
    </row>
    <row r="54" ht="20.05" customHeight="1">
      <c r="A54" t="s" s="9">
        <v>342</v>
      </c>
      <c r="B54" s="17"/>
      <c r="C54" s="13"/>
      <c r="D54" s="13"/>
      <c r="E54" s="13"/>
      <c r="F54" s="12">
        <v>191</v>
      </c>
      <c r="G54" s="12">
        <v>0.5967</v>
      </c>
      <c r="H54" s="12">
        <v>0.6249</v>
      </c>
      <c r="I54" s="12">
        <v>0.8129999999999999</v>
      </c>
      <c r="J54" s="12">
        <v>0.863</v>
      </c>
      <c r="K54" s="12">
        <v>0.9282</v>
      </c>
      <c r="L54" s="12">
        <v>0.3871</v>
      </c>
      <c r="M54" s="12">
        <v>0.627</v>
      </c>
      <c r="N54" s="13"/>
      <c r="O54" s="13"/>
    </row>
    <row r="55" ht="20.05" customHeight="1">
      <c r="A55" t="s" s="9">
        <v>449</v>
      </c>
      <c r="B55" s="17"/>
      <c r="C55" s="13"/>
      <c r="D55" s="13"/>
      <c r="E55" s="13"/>
      <c r="F55" s="13"/>
      <c r="G55" s="13"/>
      <c r="H55" s="13"/>
      <c r="I55" s="12" cm="1">
        <f t="array" ref="I55">AVERAGE(I50:I54)</f>
        <v>0.81282</v>
      </c>
      <c r="J55" s="12" cm="1">
        <f t="array" ref="J55">AVERAGE(J50:J54)</f>
        <v>0.86596</v>
      </c>
      <c r="K55" s="12" cm="1">
        <f t="array" ref="K55">AVERAGE(K50:K54)</f>
        <v>0.92972</v>
      </c>
      <c r="L55" s="12" cm="1">
        <f t="array" ref="L55">AVERAGE(L50:L54)</f>
        <v>0.38456</v>
      </c>
      <c r="M55" s="12" cm="1">
        <f t="array" ref="M55">AVERAGE(M50:M54)</f>
        <v>0.6230599999999999</v>
      </c>
      <c r="N55" s="13"/>
      <c r="O55" s="13"/>
    </row>
    <row r="56" ht="20.05" customHeight="1">
      <c r="A56" t="s" s="9">
        <v>450</v>
      </c>
      <c r="B56" s="17"/>
      <c r="C56" s="13"/>
      <c r="D56" s="13"/>
      <c r="E56" s="13"/>
      <c r="F56" s="13"/>
      <c r="G56" s="13"/>
      <c r="H56" s="13"/>
      <c r="I56" s="12" cm="1">
        <f t="array" ref="I56">STDEV(I50:I54)</f>
        <v>0.0283922876852148</v>
      </c>
      <c r="J56" s="12" cm="1">
        <f t="array" ref="J56">STDEV(J50:J54)</f>
        <v>0.00616871137272607</v>
      </c>
      <c r="K56" s="12" cm="1">
        <f t="array" ref="K56">STDEV(K50:K54)</f>
        <v>0.00320811471116605</v>
      </c>
      <c r="L56" s="12" cm="1">
        <f t="array" ref="L56">STDEV(L50:L54)</f>
        <v>0.00483352873168248</v>
      </c>
      <c r="M56" s="12" cm="1">
        <f t="array" ref="M56">STDEV(M50:M54)</f>
        <v>0.00498978957472156</v>
      </c>
      <c r="N56" s="13"/>
      <c r="O56" s="13"/>
    </row>
    <row r="57" ht="20.05" customHeight="1">
      <c r="A57" s="16"/>
      <c r="B57" s="17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</row>
    <row r="58" ht="20.05" customHeight="1">
      <c r="A58" s="16"/>
      <c r="B58" s="17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</row>
    <row r="59" ht="20.05" customHeight="1">
      <c r="A59" s="16"/>
      <c r="B59" s="17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</row>
    <row r="60" ht="20.05" customHeight="1">
      <c r="A60" s="16"/>
      <c r="B60" s="17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</row>
    <row r="61" ht="32.05" customHeight="1">
      <c r="A61" t="s" s="9">
        <v>455</v>
      </c>
      <c r="B61" s="17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</row>
    <row r="62" ht="20.05" customHeight="1">
      <c r="A62" t="s" s="9">
        <v>444</v>
      </c>
      <c r="B62" s="17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</row>
    <row r="63" ht="20.05" customHeight="1">
      <c r="A63" t="s" s="9">
        <v>373</v>
      </c>
      <c r="B63" s="17"/>
      <c r="C63" s="13"/>
      <c r="D63" s="13"/>
      <c r="E63" s="13"/>
      <c r="F63" s="12">
        <v>100</v>
      </c>
      <c r="G63" s="12">
        <v>0.6175</v>
      </c>
      <c r="H63" s="12">
        <v>0.5984</v>
      </c>
      <c r="I63" s="12">
        <v>0.7883</v>
      </c>
      <c r="J63" s="12">
        <v>0.8721</v>
      </c>
      <c r="K63" s="12">
        <v>0.9329</v>
      </c>
      <c r="L63" s="12">
        <v>0.3991</v>
      </c>
      <c r="M63" s="12">
        <v>0.6331</v>
      </c>
      <c r="N63" s="13"/>
      <c r="O63" s="13"/>
    </row>
    <row r="64" ht="20.05" customHeight="1">
      <c r="A64" t="s" s="9">
        <v>375</v>
      </c>
      <c r="B64" s="17"/>
      <c r="C64" s="13"/>
      <c r="D64" s="13"/>
      <c r="E64" s="13"/>
      <c r="F64" s="12">
        <v>100</v>
      </c>
      <c r="G64" s="12">
        <v>0.6254</v>
      </c>
      <c r="H64" s="12">
        <v>0.6098</v>
      </c>
      <c r="I64" s="12">
        <v>0.7984</v>
      </c>
      <c r="J64" s="12">
        <v>0.8706</v>
      </c>
      <c r="K64" s="12">
        <v>0.9321</v>
      </c>
      <c r="L64" s="12">
        <v>0.3924</v>
      </c>
      <c r="M64" s="12">
        <v>0.6287</v>
      </c>
      <c r="N64" s="13"/>
      <c r="O64" s="13"/>
    </row>
    <row r="65" ht="20.05" customHeight="1">
      <c r="A65" t="s" s="9">
        <v>377</v>
      </c>
      <c r="B65" s="17"/>
      <c r="C65" s="13"/>
      <c r="D65" s="13"/>
      <c r="E65" s="13"/>
      <c r="F65" s="12">
        <v>100</v>
      </c>
      <c r="G65" s="12">
        <v>0.6203</v>
      </c>
      <c r="H65" s="12">
        <v>0.6005</v>
      </c>
      <c r="I65" s="12">
        <v>0.7899</v>
      </c>
      <c r="J65" s="12">
        <v>0.8717</v>
      </c>
      <c r="K65" s="12">
        <v>0.9327</v>
      </c>
      <c r="L65" s="12">
        <v>0.3968</v>
      </c>
      <c r="M65" s="12">
        <v>0.6312</v>
      </c>
      <c r="N65" s="13"/>
      <c r="O65" s="13"/>
    </row>
    <row r="66" ht="20.05" customHeight="1">
      <c r="A66" t="s" s="9">
        <v>379</v>
      </c>
      <c r="B66" s="17"/>
      <c r="C66" s="13"/>
      <c r="D66" s="13"/>
      <c r="E66" s="13"/>
      <c r="F66" s="12">
        <v>100</v>
      </c>
      <c r="G66" s="12">
        <v>0.6197</v>
      </c>
      <c r="H66" s="12">
        <v>0.5984</v>
      </c>
      <c r="I66" s="12">
        <v>0.7877</v>
      </c>
      <c r="J66" s="12">
        <v>0.8717</v>
      </c>
      <c r="K66" s="12">
        <v>0.9328</v>
      </c>
      <c r="L66" s="12">
        <v>0.3961</v>
      </c>
      <c r="M66" s="12">
        <v>0.6311</v>
      </c>
      <c r="N66" s="13"/>
      <c r="O66" s="13"/>
    </row>
    <row r="67" ht="20.05" customHeight="1">
      <c r="A67" t="s" s="9">
        <v>381</v>
      </c>
      <c r="B67" s="17"/>
      <c r="C67" s="13"/>
      <c r="D67" s="13"/>
      <c r="E67" s="13"/>
      <c r="F67" s="13"/>
      <c r="G67" s="13"/>
      <c r="H67" s="13"/>
      <c r="I67" s="12" cm="1">
        <f t="array" ref="I67">AVERAGE(I62:I66)</f>
        <v>0.791075</v>
      </c>
      <c r="J67" s="12" cm="1">
        <f t="array" ref="J67">AVERAGE(J62:J66)</f>
        <v>0.871525</v>
      </c>
      <c r="K67" s="12" cm="1">
        <f t="array" ref="K67">AVERAGE(K62:K66)</f>
        <v>0.932625</v>
      </c>
      <c r="L67" s="12" cm="1">
        <f t="array" ref="L67">AVERAGE(L62:L66)</f>
        <v>0.3961</v>
      </c>
      <c r="M67" s="12" cm="1">
        <f t="array" ref="M67">AVERAGE(M62:M66)</f>
        <v>0.6310249999999999</v>
      </c>
      <c r="N67" s="13"/>
      <c r="O67" s="13"/>
    </row>
    <row r="68" ht="20.05" customHeight="1">
      <c r="A68" t="s" s="9">
        <v>449</v>
      </c>
      <c r="B68" s="17"/>
      <c r="C68" s="13"/>
      <c r="D68" s="13"/>
      <c r="E68" s="13"/>
      <c r="F68" s="13"/>
      <c r="G68" s="13"/>
      <c r="H68" s="13"/>
      <c r="I68" s="12" cm="1">
        <f t="array" ref="I68">STDEV(I62:I66)</f>
        <v>0.00497083158703518</v>
      </c>
      <c r="J68" s="12" cm="1">
        <f t="array" ref="J68">STDEV(J62:J66)</f>
        <v>0.00064485140407177</v>
      </c>
      <c r="K68" s="12" cm="1">
        <f t="array" ref="K68">STDEV(K62:K66)</f>
        <v>0.00035939764421413</v>
      </c>
      <c r="L68" s="12" cm="1">
        <f t="array" ref="L68">STDEV(L62:L66)</f>
        <v>0.00277968823191858</v>
      </c>
      <c r="M68" s="12" cm="1">
        <f t="array" ref="M68">STDEV(M62:M66)</f>
        <v>0.00180254449783262</v>
      </c>
      <c r="N68" s="13"/>
      <c r="O68" s="13"/>
    </row>
    <row r="69" ht="20.05" customHeight="1">
      <c r="A69" t="s" s="9">
        <v>450</v>
      </c>
      <c r="B69" s="17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</row>
    <row r="70" ht="32.05" customHeight="1">
      <c r="A70" t="s" s="9">
        <v>456</v>
      </c>
      <c r="B70" s="17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</row>
    <row r="71" ht="20.05" customHeight="1">
      <c r="A71" t="s" s="9">
        <v>373</v>
      </c>
      <c r="B71" s="17"/>
      <c r="C71" s="13"/>
      <c r="D71" s="13"/>
      <c r="E71" s="13"/>
      <c r="F71" s="12">
        <v>92</v>
      </c>
      <c r="G71" s="12">
        <v>0.6109</v>
      </c>
      <c r="H71" s="12">
        <v>0.598</v>
      </c>
      <c r="I71" s="12">
        <v>0.7881</v>
      </c>
      <c r="J71" s="12">
        <v>0.872</v>
      </c>
      <c r="K71" s="12">
        <v>0.9329</v>
      </c>
      <c r="L71" s="12">
        <v>0.4</v>
      </c>
      <c r="M71" s="12">
        <v>0.6337</v>
      </c>
      <c r="N71" s="13"/>
      <c r="O71" s="13"/>
    </row>
    <row r="72" ht="20.05" customHeight="1">
      <c r="A72" t="s" s="9">
        <v>375</v>
      </c>
      <c r="B72" s="17"/>
      <c r="C72" s="13"/>
      <c r="D72" s="13"/>
      <c r="E72" s="13"/>
      <c r="F72" s="12">
        <v>92</v>
      </c>
      <c r="G72" s="12">
        <v>0.6128</v>
      </c>
      <c r="H72" s="12">
        <v>0.6028</v>
      </c>
      <c r="I72" s="12">
        <v>0.7927</v>
      </c>
      <c r="J72" s="12">
        <v>0.8717</v>
      </c>
      <c r="K72" s="12">
        <v>0.9327</v>
      </c>
      <c r="L72" s="12">
        <v>0.3991</v>
      </c>
      <c r="M72" s="12">
        <v>0.633</v>
      </c>
      <c r="N72" s="13"/>
      <c r="O72" s="13"/>
    </row>
    <row r="73" ht="20.05" customHeight="1">
      <c r="A73" t="s" s="9">
        <v>377</v>
      </c>
      <c r="B73" s="17"/>
      <c r="C73" s="13"/>
      <c r="D73" s="13"/>
      <c r="E73" s="13"/>
      <c r="F73" s="12">
        <v>100</v>
      </c>
      <c r="G73" s="12">
        <v>0.6202</v>
      </c>
      <c r="H73" s="12">
        <v>0.602</v>
      </c>
      <c r="I73" s="12">
        <v>0.7912</v>
      </c>
      <c r="J73" s="12">
        <v>0.8715000000000001</v>
      </c>
      <c r="K73" s="12">
        <v>0.9326</v>
      </c>
      <c r="L73" s="12">
        <v>0.3955</v>
      </c>
      <c r="M73" s="12">
        <v>0.6304</v>
      </c>
      <c r="N73" s="13"/>
      <c r="O73" s="13"/>
    </row>
    <row r="74" ht="20.05" customHeight="1">
      <c r="A74" t="s" s="9">
        <v>379</v>
      </c>
      <c r="B74" s="17"/>
      <c r="C74" s="13"/>
      <c r="D74" s="13"/>
      <c r="E74" s="13"/>
      <c r="F74" s="12">
        <v>100</v>
      </c>
      <c r="G74" s="12">
        <v>0.613</v>
      </c>
      <c r="H74" s="12">
        <v>0.5959</v>
      </c>
      <c r="I74" s="12">
        <v>0.7856</v>
      </c>
      <c r="J74" s="12">
        <v>0.8721</v>
      </c>
      <c r="K74" s="12">
        <v>0.9330000000000001</v>
      </c>
      <c r="L74" s="12">
        <v>0.3974</v>
      </c>
      <c r="M74" s="12">
        <v>0.6323</v>
      </c>
      <c r="N74" s="13"/>
      <c r="O74" s="13"/>
    </row>
    <row r="75" ht="20.05" customHeight="1">
      <c r="A75" t="s" s="9">
        <v>381</v>
      </c>
      <c r="B75" s="17"/>
      <c r="C75" s="13"/>
      <c r="D75" s="13"/>
      <c r="E75" s="13"/>
      <c r="F75" s="12">
        <v>92</v>
      </c>
      <c r="G75" s="12">
        <v>0.6096</v>
      </c>
      <c r="H75" s="12">
        <v>0.6055</v>
      </c>
      <c r="I75" s="12">
        <v>0.7955</v>
      </c>
      <c r="J75" s="12">
        <v>0.871</v>
      </c>
      <c r="K75" s="12">
        <v>0.9323</v>
      </c>
      <c r="L75" s="12">
        <v>0.3985</v>
      </c>
      <c r="M75" s="12">
        <v>0.6331</v>
      </c>
      <c r="N75" s="13"/>
      <c r="O75" s="13"/>
    </row>
    <row r="76" ht="20.05" customHeight="1">
      <c r="A76" t="s" s="9">
        <v>449</v>
      </c>
      <c r="B76" s="17"/>
      <c r="C76" s="13"/>
      <c r="D76" s="13"/>
      <c r="E76" s="13"/>
      <c r="F76" s="13"/>
      <c r="G76" s="13"/>
      <c r="H76" s="13"/>
      <c r="I76" s="12" cm="1">
        <f t="array" ref="I76">AVERAGE(I71:I75)</f>
        <v>0.79062</v>
      </c>
      <c r="J76" s="12" cm="1">
        <f t="array" ref="J76">AVERAGE(J71:J75)</f>
        <v>0.87166</v>
      </c>
      <c r="K76" s="12" cm="1">
        <f t="array" ref="K76">AVERAGE(K71:K75)</f>
        <v>0.9327</v>
      </c>
      <c r="L76" s="12" cm="1">
        <f t="array" ref="L76">AVERAGE(L71:L75)</f>
        <v>0.3981</v>
      </c>
      <c r="M76" s="12" cm="1">
        <f t="array" ref="M76">AVERAGE(M71:M75)</f>
        <v>0.6325</v>
      </c>
      <c r="N76" s="13"/>
      <c r="O76" s="13"/>
    </row>
    <row r="77" ht="20.05" customHeight="1">
      <c r="A77" t="s" s="9">
        <v>450</v>
      </c>
      <c r="B77" s="17"/>
      <c r="C77" s="13"/>
      <c r="D77" s="13"/>
      <c r="E77" s="13"/>
      <c r="F77" s="13"/>
      <c r="G77" s="13"/>
      <c r="H77" s="13"/>
      <c r="I77" s="12" cm="1">
        <f t="array" ref="I77">STDEV(I71:I75)</f>
        <v>0.00387388693691491</v>
      </c>
      <c r="J77" s="12" cm="1">
        <f t="array" ref="J77">STDEV(J71:J75)</f>
        <v>0.000439317652729776</v>
      </c>
      <c r="K77" s="12" cm="1">
        <f t="array" ref="K77">STDEV(K71:K75)</f>
        <v>0.000273861278752583</v>
      </c>
      <c r="L77" s="12" cm="1">
        <f t="array" ref="L77">STDEV(L71:L75)</f>
        <v>0.00173349358233597</v>
      </c>
      <c r="M77" s="12" cm="1">
        <f t="array" ref="M77">STDEV(M71:M75)</f>
        <v>0.0012747548783982</v>
      </c>
      <c r="N77" s="13"/>
      <c r="O77" s="13"/>
    </row>
    <row r="78" ht="20.05" customHeight="1">
      <c r="A78" s="16"/>
      <c r="B78" s="17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</row>
    <row r="79" ht="20.05" customHeight="1">
      <c r="A79" s="16"/>
      <c r="B79" s="17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</row>
    <row r="80" ht="32.05" customHeight="1">
      <c r="A80" t="s" s="9">
        <v>455</v>
      </c>
      <c r="B80" s="17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</row>
    <row r="81" ht="20.05" customHeight="1">
      <c r="A81" t="s" s="9">
        <v>454</v>
      </c>
      <c r="B81" s="17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</row>
    <row r="82" ht="20.05" customHeight="1">
      <c r="A82" t="s" s="9">
        <v>373</v>
      </c>
      <c r="B82" s="17"/>
      <c r="C82" s="13"/>
      <c r="D82" s="13"/>
      <c r="E82" s="13"/>
      <c r="F82" s="12">
        <v>192</v>
      </c>
      <c r="G82" s="12">
        <v>0.5997</v>
      </c>
      <c r="H82" s="12">
        <v>0.5841</v>
      </c>
      <c r="I82" s="12">
        <v>0.7764</v>
      </c>
      <c r="J82" s="12">
        <v>0.8739</v>
      </c>
      <c r="K82" s="12">
        <v>0.9339</v>
      </c>
      <c r="L82" s="12">
        <v>0.408</v>
      </c>
      <c r="M82" s="12">
        <v>0.6408</v>
      </c>
      <c r="N82" s="13"/>
      <c r="O82" s="13"/>
    </row>
    <row r="83" ht="20.05" customHeight="1">
      <c r="A83" t="s" s="9">
        <v>375</v>
      </c>
      <c r="B83" s="17"/>
      <c r="C83" s="13"/>
      <c r="D83" s="13"/>
      <c r="E83" s="13"/>
      <c r="F83" s="12">
        <v>192</v>
      </c>
      <c r="G83" s="12">
        <v>0.6085</v>
      </c>
      <c r="H83" s="12">
        <v>0.5953000000000001</v>
      </c>
      <c r="I83" s="12">
        <v>0.7863</v>
      </c>
      <c r="J83" s="12">
        <v>0.8726</v>
      </c>
      <c r="K83" s="12">
        <v>0.9332</v>
      </c>
      <c r="L83" s="12">
        <v>0.4021</v>
      </c>
      <c r="M83" s="12">
        <v>0.6364</v>
      </c>
      <c r="N83" s="13"/>
      <c r="O83" s="13"/>
    </row>
    <row r="84" ht="20.05" customHeight="1">
      <c r="A84" t="s" s="9">
        <v>377</v>
      </c>
      <c r="B84" s="17"/>
      <c r="C84" s="13"/>
      <c r="D84" s="13"/>
      <c r="E84" s="13"/>
      <c r="F84" s="12">
        <v>192</v>
      </c>
      <c r="G84" s="12">
        <v>0.6022</v>
      </c>
      <c r="H84" s="12">
        <v>0.5853</v>
      </c>
      <c r="I84" s="12">
        <v>0.777</v>
      </c>
      <c r="J84" s="12">
        <v>0.8737</v>
      </c>
      <c r="K84" s="12">
        <v>0.9338</v>
      </c>
      <c r="L84" s="12">
        <v>0.4056</v>
      </c>
      <c r="M84" s="12">
        <v>0.6389</v>
      </c>
      <c r="N84" s="13"/>
      <c r="O84" s="13"/>
    </row>
    <row r="85" ht="20.05" customHeight="1">
      <c r="A85" t="s" s="9">
        <v>379</v>
      </c>
      <c r="B85" s="17"/>
      <c r="C85" s="13"/>
      <c r="D85" s="13"/>
      <c r="E85" s="13"/>
      <c r="F85" s="12">
        <v>191</v>
      </c>
      <c r="G85" s="12">
        <v>0.6019</v>
      </c>
      <c r="H85" s="12">
        <v>0.5861</v>
      </c>
      <c r="I85" s="12">
        <v>0.7775</v>
      </c>
      <c r="J85" s="12">
        <v>0.8733</v>
      </c>
      <c r="K85" s="12">
        <v>0.9337</v>
      </c>
      <c r="L85" s="12">
        <v>0.4042</v>
      </c>
      <c r="M85" s="12">
        <v>0.638</v>
      </c>
      <c r="N85" s="13"/>
      <c r="O85" s="13"/>
    </row>
    <row r="86" ht="20.05" customHeight="1">
      <c r="A86" t="s" s="9">
        <v>381</v>
      </c>
      <c r="B86" s="17"/>
      <c r="C86" s="13"/>
      <c r="D86" s="13"/>
      <c r="E86" s="13"/>
      <c r="F86" s="12">
        <v>192</v>
      </c>
      <c r="G86" s="12">
        <v>0.5969</v>
      </c>
      <c r="H86" s="12">
        <v>0.5933</v>
      </c>
      <c r="I86" s="12">
        <v>0.785</v>
      </c>
      <c r="J86" s="12">
        <v>0.8727</v>
      </c>
      <c r="K86" s="12">
        <v>0.9333</v>
      </c>
      <c r="L86" s="12">
        <v>0.4048</v>
      </c>
      <c r="M86" s="12">
        <v>0.639</v>
      </c>
      <c r="N86" s="13"/>
      <c r="O86" s="13"/>
    </row>
    <row r="87" ht="20.05" customHeight="1">
      <c r="A87" t="s" s="9">
        <v>449</v>
      </c>
      <c r="B87" s="17"/>
      <c r="C87" s="13"/>
      <c r="D87" s="13"/>
      <c r="E87" s="13"/>
      <c r="F87" s="13"/>
      <c r="G87" s="13"/>
      <c r="H87" s="13"/>
      <c r="I87" s="12" cm="1">
        <f t="array" ref="I87">AVERAGE(I82:I86)</f>
        <v>0.78044</v>
      </c>
      <c r="J87" s="12" cm="1">
        <f t="array" ref="J87">AVERAGE(J82:J86)</f>
        <v>0.87324</v>
      </c>
      <c r="K87" s="12" cm="1">
        <f t="array" ref="K87">AVERAGE(K82:K86)</f>
        <v>0.93358</v>
      </c>
      <c r="L87" s="12" cm="1">
        <f t="array" ref="L87">AVERAGE(L82:L86)</f>
        <v>0.40494</v>
      </c>
      <c r="M87" s="12" cm="1">
        <f t="array" ref="M87">AVERAGE(M82:M86)</f>
        <v>0.63862</v>
      </c>
      <c r="N87" s="13"/>
      <c r="O87" s="13"/>
    </row>
    <row r="88" ht="20.05" customHeight="1">
      <c r="A88" t="s" s="9">
        <v>450</v>
      </c>
      <c r="B88" s="17"/>
      <c r="C88" s="13"/>
      <c r="D88" s="13"/>
      <c r="E88" s="13"/>
      <c r="F88" s="13"/>
      <c r="G88" s="13"/>
      <c r="H88" s="13"/>
      <c r="I88" s="12" cm="1">
        <f t="array" ref="I88">STDEV(I82:I86)</f>
        <v>0.00479405882316853</v>
      </c>
      <c r="J88" s="12" cm="1">
        <f t="array" ref="J88">STDEV(J82:J86)</f>
        <v>0.000581377674149945</v>
      </c>
      <c r="K88" s="12" cm="1">
        <f t="array" ref="K88">STDEV(K82:K86)</f>
        <v>0.000311448230047949</v>
      </c>
      <c r="L88" s="12" cm="1">
        <f t="array" ref="L88">STDEV(L82:L86)</f>
        <v>0.0021466252583998</v>
      </c>
      <c r="M88" s="12" cm="1">
        <f t="array" ref="M88">STDEV(M82:M86)</f>
        <v>0.00160374561573836</v>
      </c>
      <c r="N88" s="13"/>
      <c r="O88" s="13"/>
    </row>
    <row r="89" ht="32.05" customHeight="1">
      <c r="A89" t="s" s="9">
        <v>456</v>
      </c>
      <c r="B89" s="17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</row>
    <row r="90" ht="20.05" customHeight="1">
      <c r="A90" t="s" s="9">
        <v>373</v>
      </c>
      <c r="B90" s="17"/>
      <c r="C90" s="13"/>
      <c r="D90" s="13"/>
      <c r="E90" s="13"/>
      <c r="F90" s="12">
        <v>192</v>
      </c>
      <c r="G90" s="12">
        <v>0.5935</v>
      </c>
      <c r="H90" s="12">
        <v>0.5848</v>
      </c>
      <c r="I90" s="12">
        <v>0.777</v>
      </c>
      <c r="J90" s="12">
        <v>0.8737</v>
      </c>
      <c r="K90" s="12">
        <v>0.9338</v>
      </c>
      <c r="L90" s="12">
        <v>0.4069</v>
      </c>
      <c r="M90" s="12">
        <v>0.6404</v>
      </c>
      <c r="N90" s="13"/>
      <c r="O90" s="13"/>
    </row>
    <row r="91" ht="20.05" customHeight="1">
      <c r="A91" t="s" s="9">
        <v>375</v>
      </c>
      <c r="B91" s="17"/>
      <c r="C91" s="13"/>
      <c r="D91" s="13"/>
      <c r="E91" s="13"/>
      <c r="F91" s="12">
        <v>192</v>
      </c>
      <c r="G91" s="12">
        <v>0.5937</v>
      </c>
      <c r="H91" s="12">
        <v>0.589</v>
      </c>
      <c r="I91" s="12">
        <v>0.781</v>
      </c>
      <c r="J91" s="12">
        <v>0.8735000000000001</v>
      </c>
      <c r="K91" s="12">
        <v>0.9337</v>
      </c>
      <c r="L91" s="12">
        <v>0.4066</v>
      </c>
      <c r="M91" s="12">
        <v>0.6402</v>
      </c>
      <c r="N91" s="13"/>
      <c r="O91" s="13"/>
    </row>
    <row r="92" ht="20.05" customHeight="1">
      <c r="A92" t="s" s="9">
        <v>377</v>
      </c>
      <c r="B92" s="17"/>
      <c r="C92" s="13"/>
      <c r="D92" s="13"/>
      <c r="E92" s="13"/>
      <c r="F92" s="12">
        <v>192</v>
      </c>
      <c r="G92" s="12">
        <v>0.6012999999999999</v>
      </c>
      <c r="H92" s="12">
        <v>0.5891999999999999</v>
      </c>
      <c r="I92" s="12">
        <v>0.7805</v>
      </c>
      <c r="J92" s="12">
        <v>0.8731</v>
      </c>
      <c r="K92" s="12">
        <v>0.9335</v>
      </c>
      <c r="L92" s="12">
        <v>0.4034</v>
      </c>
      <c r="M92" s="12">
        <v>0.6375999999999999</v>
      </c>
      <c r="N92" s="13"/>
      <c r="O92" s="13"/>
    </row>
    <row r="93" ht="20.05" customHeight="1">
      <c r="A93" t="s" s="9">
        <v>379</v>
      </c>
      <c r="B93" s="17"/>
      <c r="C93" s="13"/>
      <c r="D93" s="13"/>
      <c r="E93" s="13"/>
      <c r="F93" s="12">
        <v>192</v>
      </c>
      <c r="G93" s="12">
        <v>0.5938</v>
      </c>
      <c r="H93" s="12">
        <v>0.584</v>
      </c>
      <c r="I93" s="12">
        <v>0.7759</v>
      </c>
      <c r="J93" s="12">
        <v>0.8736</v>
      </c>
      <c r="K93" s="12">
        <v>0.9338</v>
      </c>
      <c r="L93" s="12">
        <v>0.4054</v>
      </c>
      <c r="M93" s="12">
        <v>0.6395</v>
      </c>
      <c r="N93" s="13"/>
      <c r="O93" s="13"/>
    </row>
    <row r="94" ht="20.05" customHeight="1">
      <c r="A94" t="s" s="9">
        <v>381</v>
      </c>
      <c r="B94" s="17"/>
      <c r="C94" s="13"/>
      <c r="D94" s="13"/>
      <c r="E94" s="13"/>
      <c r="F94" s="12">
        <v>192</v>
      </c>
      <c r="G94" s="12">
        <v>0.5906</v>
      </c>
      <c r="H94" s="12">
        <v>0.5908</v>
      </c>
      <c r="I94" s="12">
        <v>0.7831</v>
      </c>
      <c r="J94" s="12">
        <v>0.8731</v>
      </c>
      <c r="K94" s="12">
        <v>0.9334</v>
      </c>
      <c r="L94" s="12">
        <v>0.4075</v>
      </c>
      <c r="M94" s="12">
        <v>0.6409</v>
      </c>
      <c r="N94" s="13"/>
      <c r="O94" s="13"/>
    </row>
    <row r="95" ht="20.05" customHeight="1">
      <c r="A95" t="s" s="9">
        <v>449</v>
      </c>
      <c r="B95" s="17"/>
      <c r="C95" s="13"/>
      <c r="D95" s="13"/>
      <c r="E95" s="13"/>
      <c r="F95" s="13"/>
      <c r="G95" s="13"/>
      <c r="H95" s="13"/>
      <c r="I95" s="12" cm="1">
        <f t="array" ref="I95">AVERAGE(I90:I94)</f>
        <v>0.7795</v>
      </c>
      <c r="J95" s="12" cm="1">
        <f t="array" ref="J95">AVERAGE(J90:J94)</f>
        <v>0.8734</v>
      </c>
      <c r="K95" s="12" cm="1">
        <f t="array" ref="K95">AVERAGE(K90:K94)</f>
        <v>0.93364</v>
      </c>
      <c r="L95" s="12" cm="1">
        <f t="array" ref="L95">AVERAGE(L90:L94)</f>
        <v>0.40596</v>
      </c>
      <c r="M95" s="12" cm="1">
        <f t="array" ref="M95">AVERAGE(M90:M94)</f>
        <v>0.63972</v>
      </c>
      <c r="N95" s="13"/>
      <c r="O95" s="13"/>
    </row>
    <row r="96" ht="20.05" customHeight="1">
      <c r="A96" t="s" s="9">
        <v>450</v>
      </c>
      <c r="B96" s="17"/>
      <c r="C96" s="13"/>
      <c r="D96" s="13"/>
      <c r="E96" s="13"/>
      <c r="F96" s="13"/>
      <c r="G96" s="13"/>
      <c r="H96" s="13"/>
      <c r="I96" s="12" cm="1">
        <f t="array" ref="I96">STDEV(I90:I94)</f>
        <v>0.0029757352032733</v>
      </c>
      <c r="J96" s="12" cm="1">
        <f t="array" ref="J96">STDEV(J90:J94)</f>
        <v>0.000282842712474619</v>
      </c>
      <c r="K96" s="12" cm="1">
        <f t="array" ref="K96">STDEV(K90:K94)</f>
        <v>0.000181659021245849</v>
      </c>
      <c r="L96" s="12" cm="1">
        <f t="array" ref="L96">STDEV(L90:L94)</f>
        <v>0.00162265215003093</v>
      </c>
      <c r="M96" s="12" cm="1">
        <f t="array" ref="M96">STDEV(M90:M94)</f>
        <v>0.00128724512040248</v>
      </c>
      <c r="N96" s="13"/>
      <c r="O96" s="13"/>
    </row>
    <row r="97" ht="20.05" customHeight="1">
      <c r="A97" s="16"/>
      <c r="B97" s="17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</row>
    <row r="98" ht="20.05" customHeight="1">
      <c r="A98" s="16"/>
      <c r="B98" s="17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</row>
    <row r="99" ht="20.05" customHeight="1">
      <c r="A99" s="16"/>
      <c r="B99" s="17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</row>
    <row r="100" ht="20.05" customHeight="1">
      <c r="A100" s="16"/>
      <c r="B100" s="17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</row>
    <row r="101" ht="20.05" customHeight="1">
      <c r="A101" s="16"/>
      <c r="B101" s="17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</row>
    <row r="102" ht="20.05" customHeight="1">
      <c r="A102" s="16"/>
      <c r="B102" s="17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</row>
    <row r="103" ht="20.05" customHeight="1">
      <c r="A103" s="16"/>
      <c r="B103" s="17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</row>
    <row r="104" ht="20.05" customHeight="1">
      <c r="A104" s="16"/>
      <c r="B104" s="17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</row>
    <row r="105" ht="20.05" customHeight="1">
      <c r="A105" s="16"/>
      <c r="B105" s="17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</row>
    <row r="106" ht="20.05" customHeight="1">
      <c r="A106" s="16"/>
      <c r="B106" s="17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</row>
    <row r="107" ht="20.05" customHeight="1">
      <c r="A107" s="16"/>
      <c r="B107" s="17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</row>
    <row r="108" ht="20.05" customHeight="1">
      <c r="A108" s="16"/>
      <c r="B108" s="17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</row>
    <row r="109" ht="20.05" customHeight="1">
      <c r="A109" s="16"/>
      <c r="B109" s="17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</row>
    <row r="110" ht="20.05" customHeight="1">
      <c r="A110" s="16"/>
      <c r="B110" s="17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</row>
    <row r="111" ht="20.05" customHeight="1">
      <c r="A111" s="16"/>
      <c r="B111" s="17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</row>
    <row r="112" ht="20.05" customHeight="1">
      <c r="A112" s="16"/>
      <c r="B112" s="17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</row>
    <row r="113" ht="20.05" customHeight="1">
      <c r="A113" s="16"/>
      <c r="B113" s="17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</row>
    <row r="114" ht="20.05" customHeight="1">
      <c r="A114" s="16"/>
      <c r="B114" s="17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</row>
    <row r="115" ht="20.05" customHeight="1">
      <c r="A115" s="16"/>
      <c r="B115" s="17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</row>
    <row r="116" ht="20.05" customHeight="1">
      <c r="A116" s="16"/>
      <c r="B116" s="17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</row>
    <row r="117" ht="20.05" customHeight="1">
      <c r="A117" s="16"/>
      <c r="B117" s="17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</row>
    <row r="118" ht="20.05" customHeight="1">
      <c r="A118" s="16"/>
      <c r="B118" s="17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</row>
    <row r="119" ht="20.05" customHeight="1">
      <c r="A119" s="16"/>
      <c r="B119" s="17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</row>
    <row r="120" ht="20.05" customHeight="1">
      <c r="A120" s="16"/>
      <c r="B120" s="17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</row>
    <row r="121" ht="20.05" customHeight="1">
      <c r="A121" s="16"/>
      <c r="B121" s="17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</row>
    <row r="122" ht="20.05" customHeight="1">
      <c r="A122" s="16"/>
      <c r="B122" s="17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</row>
    <row r="123" ht="20.05" customHeight="1">
      <c r="A123" s="16"/>
      <c r="B123" s="17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</row>
    <row r="124" ht="20.05" customHeight="1">
      <c r="A124" s="16"/>
      <c r="B124" s="17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</row>
    <row r="125" ht="20.05" customHeight="1">
      <c r="A125" s="16"/>
      <c r="B125" s="17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</row>
    <row r="126" ht="20.05" customHeight="1">
      <c r="A126" s="16"/>
      <c r="B126" s="17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</row>
    <row r="127" ht="20.05" customHeight="1">
      <c r="A127" s="16"/>
      <c r="B127" s="17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</row>
    <row r="128" ht="20.05" customHeight="1">
      <c r="A128" s="16"/>
      <c r="B128" s="17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</row>
    <row r="129" ht="20.05" customHeight="1">
      <c r="A129" s="16"/>
      <c r="B129" s="17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</row>
    <row r="130" ht="20.05" customHeight="1">
      <c r="A130" s="16"/>
      <c r="B130" s="17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</row>
    <row r="131" ht="20.05" customHeight="1">
      <c r="A131" s="16"/>
      <c r="B131" s="17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</row>
    <row r="132" ht="20.05" customHeight="1">
      <c r="A132" s="16"/>
      <c r="B132" s="17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</row>
    <row r="133" ht="20.05" customHeight="1">
      <c r="A133" s="16"/>
      <c r="B133" s="17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</row>
    <row r="134" ht="20.05" customHeight="1">
      <c r="A134" s="16"/>
      <c r="B134" s="17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</row>
    <row r="135" ht="20.05" customHeight="1">
      <c r="A135" s="16"/>
      <c r="B135" s="17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</row>
    <row r="136" ht="20.05" customHeight="1">
      <c r="A136" s="16"/>
      <c r="B136" s="17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</row>
    <row r="137" ht="20.05" customHeight="1">
      <c r="A137" s="16"/>
      <c r="B137" s="17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</row>
    <row r="138" ht="20.05" customHeight="1">
      <c r="A138" s="16"/>
      <c r="B138" s="17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</row>
    <row r="139" ht="20.05" customHeight="1">
      <c r="A139" s="16"/>
      <c r="B139" s="17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</row>
    <row r="140" ht="20.05" customHeight="1">
      <c r="A140" s="16"/>
      <c r="B140" s="17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</row>
    <row r="141" ht="20.05" customHeight="1">
      <c r="A141" s="16"/>
      <c r="B141" s="17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</row>
    <row r="142" ht="20.05" customHeight="1">
      <c r="A142" s="16"/>
      <c r="B142" s="17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</row>
    <row r="143" ht="20.05" customHeight="1">
      <c r="A143" s="16"/>
      <c r="B143" s="17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</row>
    <row r="144" ht="20.05" customHeight="1">
      <c r="A144" s="16"/>
      <c r="B144" s="17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</row>
    <row r="145" ht="20.05" customHeight="1">
      <c r="A145" s="16"/>
      <c r="B145" s="17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</row>
    <row r="146" ht="20.05" customHeight="1">
      <c r="A146" s="16"/>
      <c r="B146" s="17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</row>
    <row r="147" ht="20.05" customHeight="1">
      <c r="A147" s="16"/>
      <c r="B147" s="17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</row>
    <row r="148" ht="20.05" customHeight="1">
      <c r="A148" s="16"/>
      <c r="B148" s="17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</row>
    <row r="149" ht="20.05" customHeight="1">
      <c r="A149" s="16"/>
      <c r="B149" s="17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</row>
    <row r="150" ht="20.05" customHeight="1">
      <c r="A150" s="16"/>
      <c r="B150" s="17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</row>
    <row r="151" ht="20.05" customHeight="1">
      <c r="A151" s="16"/>
      <c r="B151" s="17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</row>
    <row r="152" ht="20.05" customHeight="1">
      <c r="A152" s="16"/>
      <c r="B152" s="17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</row>
    <row r="153" ht="20.05" customHeight="1">
      <c r="A153" s="16"/>
      <c r="B153" s="17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</row>
    <row r="154" ht="20.05" customHeight="1">
      <c r="A154" s="16"/>
      <c r="B154" s="17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</row>
    <row r="155" ht="20.05" customHeight="1">
      <c r="A155" s="16"/>
      <c r="B155" s="17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</row>
    <row r="156" ht="20.05" customHeight="1">
      <c r="A156" s="16"/>
      <c r="B156" s="17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</row>
    <row r="157" ht="20.05" customHeight="1">
      <c r="A157" s="16"/>
      <c r="B157" s="17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</row>
    <row r="158" ht="20.05" customHeight="1">
      <c r="A158" s="16"/>
      <c r="B158" s="17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</row>
    <row r="159" ht="20.05" customHeight="1">
      <c r="A159" s="16"/>
      <c r="B159" s="17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</row>
    <row r="160" ht="20.05" customHeight="1">
      <c r="A160" s="16"/>
      <c r="B160" s="17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</row>
    <row r="161" ht="20.05" customHeight="1">
      <c r="A161" s="16"/>
      <c r="B161" s="17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</row>
    <row r="162" ht="20.05" customHeight="1">
      <c r="A162" s="16"/>
      <c r="B162" s="17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</row>
    <row r="163" ht="20.05" customHeight="1">
      <c r="A163" s="16"/>
      <c r="B163" s="17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</row>
    <row r="164" ht="20.05" customHeight="1">
      <c r="A164" s="16"/>
      <c r="B164" s="17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</row>
    <row r="165" ht="20.05" customHeight="1">
      <c r="A165" s="16"/>
      <c r="B165" s="17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</row>
    <row r="166" ht="20.05" customHeight="1">
      <c r="A166" s="16"/>
      <c r="B166" s="17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</row>
    <row r="167" ht="20.05" customHeight="1">
      <c r="A167" s="16"/>
      <c r="B167" s="17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</row>
    <row r="168" ht="20.05" customHeight="1">
      <c r="A168" s="16"/>
      <c r="B168" s="17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</row>
    <row r="169" ht="20.05" customHeight="1">
      <c r="A169" s="16"/>
      <c r="B169" s="17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</row>
    <row r="170" ht="20.05" customHeight="1">
      <c r="A170" s="16"/>
      <c r="B170" s="17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</row>
    <row r="171" ht="20.05" customHeight="1">
      <c r="A171" s="16"/>
      <c r="B171" s="17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</row>
    <row r="172" ht="20.05" customHeight="1">
      <c r="A172" s="16"/>
      <c r="B172" s="17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</row>
    <row r="173" ht="20.05" customHeight="1">
      <c r="A173" s="16"/>
      <c r="B173" s="17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</row>
    <row r="174" ht="20.05" customHeight="1">
      <c r="A174" s="16"/>
      <c r="B174" s="17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</row>
    <row r="175" ht="20.05" customHeight="1">
      <c r="A175" s="16"/>
      <c r="B175" s="17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</row>
    <row r="176" ht="20.05" customHeight="1">
      <c r="A176" s="16"/>
      <c r="B176" s="17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</row>
    <row r="177" ht="20.05" customHeight="1">
      <c r="A177" s="16"/>
      <c r="B177" s="17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</row>
    <row r="178" ht="20.05" customHeight="1">
      <c r="A178" s="16"/>
      <c r="B178" s="17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</row>
    <row r="179" ht="20.05" customHeight="1">
      <c r="A179" s="16"/>
      <c r="B179" s="17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</row>
    <row r="180" ht="20.05" customHeight="1">
      <c r="A180" s="16"/>
      <c r="B180" s="17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</row>
    <row r="181" ht="20.05" customHeight="1">
      <c r="A181" s="16"/>
      <c r="B181" s="17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</row>
    <row r="182" ht="20.05" customHeight="1">
      <c r="A182" s="16"/>
      <c r="B182" s="17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</row>
    <row r="183" ht="20.05" customHeight="1">
      <c r="A183" s="16"/>
      <c r="B183" s="17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</row>
    <row r="184" ht="20.05" customHeight="1">
      <c r="A184" s="16"/>
      <c r="B184" s="17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</row>
    <row r="185" ht="20.05" customHeight="1">
      <c r="A185" s="16"/>
      <c r="B185" s="17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</row>
    <row r="186" ht="20.05" customHeight="1">
      <c r="A186" s="16"/>
      <c r="B186" s="17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</row>
    <row r="187" ht="20.05" customHeight="1">
      <c r="A187" s="16"/>
      <c r="B187" s="17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</row>
    <row r="188" ht="20.05" customHeight="1">
      <c r="A188" s="16"/>
      <c r="B188" s="17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</row>
    <row r="189" ht="20.05" customHeight="1">
      <c r="A189" s="16"/>
      <c r="B189" s="17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</row>
    <row r="190" ht="20.05" customHeight="1">
      <c r="A190" s="16"/>
      <c r="B190" s="17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</row>
    <row r="191" ht="20.05" customHeight="1">
      <c r="A191" s="16"/>
      <c r="B191" s="17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</row>
    <row r="192" ht="20.05" customHeight="1">
      <c r="A192" s="16"/>
      <c r="B192" s="17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</row>
    <row r="193" ht="20.05" customHeight="1">
      <c r="A193" s="16"/>
      <c r="B193" s="17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</row>
    <row r="194" ht="20.05" customHeight="1">
      <c r="A194" s="16"/>
      <c r="B194" s="17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</row>
    <row r="195" ht="20.05" customHeight="1">
      <c r="A195" s="16"/>
      <c r="B195" s="17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</row>
    <row r="196" ht="20.05" customHeight="1">
      <c r="A196" s="16"/>
      <c r="B196" s="17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</row>
    <row r="197" ht="20.05" customHeight="1">
      <c r="A197" s="16"/>
      <c r="B197" s="17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</row>
    <row r="198" ht="20.05" customHeight="1">
      <c r="A198" s="16"/>
      <c r="B198" s="17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</row>
    <row r="199" ht="20.05" customHeight="1">
      <c r="A199" s="16"/>
      <c r="B199" s="17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</row>
    <row r="200" ht="20.05" customHeight="1">
      <c r="A200" s="16"/>
      <c r="B200" s="17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</row>
    <row r="201" ht="20.05" customHeight="1">
      <c r="A201" s="16"/>
      <c r="B201" s="17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</row>
    <row r="202" ht="20.05" customHeight="1">
      <c r="A202" s="16"/>
      <c r="B202" s="17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</row>
    <row r="203" ht="20.05" customHeight="1">
      <c r="A203" s="16"/>
      <c r="B203" s="17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</row>
    <row r="204" ht="20.05" customHeight="1">
      <c r="A204" s="16"/>
      <c r="B204" s="17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</row>
    <row r="205" ht="20.05" customHeight="1">
      <c r="A205" s="16"/>
      <c r="B205" s="17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</row>
    <row r="206" ht="20.05" customHeight="1">
      <c r="A206" s="16"/>
      <c r="B206" s="17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</row>
    <row r="207" ht="20.05" customHeight="1">
      <c r="A207" s="16"/>
      <c r="B207" s="17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</row>
    <row r="208" ht="20.05" customHeight="1">
      <c r="A208" s="16"/>
      <c r="B208" s="17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</row>
    <row r="209" ht="20.05" customHeight="1">
      <c r="A209" s="16"/>
      <c r="B209" s="17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</row>
    <row r="210" ht="20.05" customHeight="1">
      <c r="A210" s="16"/>
      <c r="B210" s="17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</row>
    <row r="211" ht="20.05" customHeight="1">
      <c r="A211" s="16"/>
      <c r="B211" s="17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</row>
    <row r="212" ht="20.05" customHeight="1">
      <c r="A212" s="16"/>
      <c r="B212" s="17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</row>
    <row r="213" ht="20.05" customHeight="1">
      <c r="A213" s="16"/>
      <c r="B213" s="17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</row>
    <row r="214" ht="20.05" customHeight="1">
      <c r="A214" s="16"/>
      <c r="B214" s="17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</row>
    <row r="215" ht="20.05" customHeight="1">
      <c r="A215" s="16"/>
      <c r="B215" s="17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</row>
    <row r="216" ht="20.05" customHeight="1">
      <c r="A216" s="16"/>
      <c r="B216" s="17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</row>
    <row r="217" ht="20.05" customHeight="1">
      <c r="A217" s="16"/>
      <c r="B217" s="17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</row>
    <row r="218" ht="20.05" customHeight="1">
      <c r="A218" s="16"/>
      <c r="B218" s="17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</row>
    <row r="219" ht="20.05" customHeight="1">
      <c r="A219" s="16"/>
      <c r="B219" s="17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</row>
    <row r="220" ht="20.05" customHeight="1">
      <c r="A220" s="16"/>
      <c r="B220" s="17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</row>
    <row r="221" ht="20.05" customHeight="1">
      <c r="A221" s="16"/>
      <c r="B221" s="17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</row>
    <row r="222" ht="20.05" customHeight="1">
      <c r="A222" s="16"/>
      <c r="B222" s="17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</row>
    <row r="223" ht="20.05" customHeight="1">
      <c r="A223" s="16"/>
      <c r="B223" s="17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</row>
    <row r="224" ht="20.05" customHeight="1">
      <c r="A224" s="16"/>
      <c r="B224" s="17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</row>
    <row r="225" ht="20.05" customHeight="1">
      <c r="A225" s="16"/>
      <c r="B225" s="17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</row>
    <row r="226" ht="20.05" customHeight="1">
      <c r="A226" s="16"/>
      <c r="B226" s="17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</row>
    <row r="227" ht="20.05" customHeight="1">
      <c r="A227" s="16"/>
      <c r="B227" s="17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</row>
    <row r="228" ht="20.05" customHeight="1">
      <c r="A228" s="16"/>
      <c r="B228" s="17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</row>
    <row r="229" ht="20.05" customHeight="1">
      <c r="A229" s="16"/>
      <c r="B229" s="17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</row>
    <row r="230" ht="20.05" customHeight="1">
      <c r="A230" s="16"/>
      <c r="B230" s="17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</row>
    <row r="231" ht="20.05" customHeight="1">
      <c r="A231" s="16"/>
      <c r="B231" s="17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</row>
    <row r="232" ht="20.05" customHeight="1">
      <c r="A232" s="16"/>
      <c r="B232" s="17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</row>
    <row r="233" ht="20.05" customHeight="1">
      <c r="A233" s="16"/>
      <c r="B233" s="17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</row>
    <row r="234" ht="20.05" customHeight="1">
      <c r="A234" s="16"/>
      <c r="B234" s="17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</row>
    <row r="235" ht="20.05" customHeight="1">
      <c r="A235" s="16"/>
      <c r="B235" s="17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</row>
    <row r="236" ht="20.05" customHeight="1">
      <c r="A236" s="16"/>
      <c r="B236" s="17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</row>
    <row r="237" ht="20.05" customHeight="1">
      <c r="A237" s="16"/>
      <c r="B237" s="17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</row>
    <row r="238" ht="20.05" customHeight="1">
      <c r="A238" s="16"/>
      <c r="B238" s="17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</row>
    <row r="239" ht="20.05" customHeight="1">
      <c r="A239" s="16"/>
      <c r="B239" s="17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</row>
    <row r="240" ht="20.05" customHeight="1">
      <c r="A240" s="16"/>
      <c r="B240" s="17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</row>
    <row r="241" ht="20.05" customHeight="1">
      <c r="A241" s="16"/>
      <c r="B241" s="17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</row>
    <row r="242" ht="20.05" customHeight="1">
      <c r="A242" s="16"/>
      <c r="B242" s="17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</row>
    <row r="243" ht="20.05" customHeight="1">
      <c r="A243" s="16"/>
      <c r="B243" s="17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</row>
    <row r="244" ht="20.05" customHeight="1">
      <c r="A244" s="16"/>
      <c r="B244" s="17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</row>
    <row r="245" ht="20.05" customHeight="1">
      <c r="A245" s="16"/>
      <c r="B245" s="17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</row>
    <row r="246" ht="20.05" customHeight="1">
      <c r="A246" s="16"/>
      <c r="B246" s="17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</row>
    <row r="247" ht="20.05" customHeight="1">
      <c r="A247" s="16"/>
      <c r="B247" s="17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</row>
    <row r="248" ht="20.05" customHeight="1">
      <c r="A248" s="16"/>
      <c r="B248" s="17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</row>
    <row r="249" ht="20.05" customHeight="1">
      <c r="A249" s="16"/>
      <c r="B249" s="17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</row>
    <row r="250" ht="20.05" customHeight="1">
      <c r="A250" s="16"/>
      <c r="B250" s="17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</row>
  </sheetData>
  <mergeCells count="1">
    <mergeCell ref="A1:O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sheetPr>
    <pageSetUpPr fitToPage="1"/>
  </sheetPr>
  <dimension ref="A2:O250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5" width="16.3516" style="36" customWidth="1"/>
    <col min="16" max="16384" width="16.3516" style="36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32.25" customHeight="1">
      <c r="A2" t="s" s="3">
        <v>1</v>
      </c>
      <c r="B2" t="s" s="3">
        <v>229</v>
      </c>
      <c r="C2" t="s" s="3">
        <v>2</v>
      </c>
      <c r="D2" t="s" s="3">
        <v>230</v>
      </c>
      <c r="E2" t="s" s="3">
        <v>3</v>
      </c>
      <c r="F2" t="s" s="3">
        <v>4</v>
      </c>
      <c r="G2" t="s" s="3">
        <v>5</v>
      </c>
      <c r="H2" t="s" s="3">
        <v>457</v>
      </c>
      <c r="I2" t="s" s="3">
        <v>302</v>
      </c>
      <c r="J2" t="s" s="3">
        <v>231</v>
      </c>
      <c r="K2" t="s" s="3">
        <v>232</v>
      </c>
      <c r="L2" t="s" s="3">
        <v>233</v>
      </c>
      <c r="M2" t="s" s="3">
        <v>234</v>
      </c>
      <c r="N2" t="s" s="3">
        <v>235</v>
      </c>
      <c r="O2" t="s" s="3">
        <v>8</v>
      </c>
    </row>
    <row r="3" ht="20.25" customHeight="1">
      <c r="A3" t="s" s="4">
        <v>443</v>
      </c>
      <c r="B3" s="34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35"/>
      <c r="O3" s="8"/>
    </row>
    <row r="4" ht="20.05" customHeight="1">
      <c r="A4" t="s" s="9">
        <v>444</v>
      </c>
      <c r="B4" s="17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</row>
    <row r="5" ht="32.05" customHeight="1">
      <c r="A5" t="s" s="9">
        <v>309</v>
      </c>
      <c r="B5" t="s" s="10">
        <v>445</v>
      </c>
      <c r="C5" t="s" s="11">
        <v>239</v>
      </c>
      <c r="D5" t="s" s="11">
        <v>237</v>
      </c>
      <c r="E5" s="13"/>
      <c r="F5" s="12">
        <v>26</v>
      </c>
      <c r="G5" s="13"/>
      <c r="H5" s="12">
        <v>0.9772999999999999</v>
      </c>
      <c r="I5" s="12">
        <v>1.1427</v>
      </c>
      <c r="J5" s="12">
        <v>0.8322000000000001</v>
      </c>
      <c r="K5" s="12">
        <v>0.9112</v>
      </c>
      <c r="L5" s="12">
        <v>0.2294</v>
      </c>
      <c r="M5" s="12">
        <v>0.5515</v>
      </c>
      <c r="N5" s="13"/>
      <c r="O5" s="13"/>
    </row>
    <row r="6" ht="32.05" customHeight="1">
      <c r="A6" t="s" s="9">
        <v>311</v>
      </c>
      <c r="B6" t="s" s="10">
        <v>445</v>
      </c>
      <c r="C6" t="s" s="11">
        <v>239</v>
      </c>
      <c r="D6" t="s" s="11">
        <v>237</v>
      </c>
      <c r="E6" s="13"/>
      <c r="F6" s="12">
        <v>93</v>
      </c>
      <c r="G6" s="13"/>
      <c r="H6" s="12">
        <v>0.8254</v>
      </c>
      <c r="I6" s="12">
        <v>0.9988</v>
      </c>
      <c r="J6" s="12">
        <v>0.8419</v>
      </c>
      <c r="K6" s="12">
        <v>0.9163</v>
      </c>
      <c r="L6" s="12">
        <v>0.3241</v>
      </c>
      <c r="M6" s="12">
        <v>0.578</v>
      </c>
      <c r="N6" s="13"/>
      <c r="O6" s="13"/>
    </row>
    <row r="7" ht="32.05" customHeight="1">
      <c r="A7" t="s" s="9">
        <v>314</v>
      </c>
      <c r="B7" t="s" s="10">
        <v>445</v>
      </c>
      <c r="C7" t="s" s="11">
        <v>239</v>
      </c>
      <c r="D7" t="s" s="11">
        <v>237</v>
      </c>
      <c r="E7" s="13"/>
      <c r="F7" s="12">
        <v>95</v>
      </c>
      <c r="G7" s="13"/>
      <c r="H7" s="12">
        <v>0.7892</v>
      </c>
      <c r="I7" s="12">
        <v>0.9567</v>
      </c>
      <c r="J7" s="12">
        <v>0.8502</v>
      </c>
      <c r="K7" s="12">
        <v>0.9214</v>
      </c>
      <c r="L7" s="12">
        <v>0.2764</v>
      </c>
      <c r="M7" s="12">
        <v>0.5584</v>
      </c>
      <c r="N7" s="13"/>
      <c r="O7" s="13"/>
    </row>
    <row r="8" ht="32.05" customHeight="1">
      <c r="A8" t="s" s="9">
        <v>316</v>
      </c>
      <c r="B8" t="s" s="10">
        <v>445</v>
      </c>
      <c r="C8" t="s" s="11">
        <v>239</v>
      </c>
      <c r="D8" t="s" s="11">
        <v>237</v>
      </c>
      <c r="E8" s="13"/>
      <c r="F8" s="12">
        <v>97</v>
      </c>
      <c r="G8" s="13"/>
      <c r="H8" s="12">
        <v>0.7141999999999999</v>
      </c>
      <c r="I8" s="12">
        <v>0.8837</v>
      </c>
      <c r="J8" s="12">
        <v>0.8516</v>
      </c>
      <c r="K8" s="12">
        <v>0.9225</v>
      </c>
      <c r="L8" s="12">
        <v>0.2888</v>
      </c>
      <c r="M8" s="12">
        <v>0.5648</v>
      </c>
      <c r="N8" s="13"/>
      <c r="O8" s="13"/>
    </row>
    <row r="9" ht="32.05" customHeight="1">
      <c r="A9" t="s" s="9">
        <v>318</v>
      </c>
      <c r="B9" t="s" s="10">
        <v>445</v>
      </c>
      <c r="C9" t="s" s="11">
        <v>239</v>
      </c>
      <c r="D9" t="s" s="11">
        <v>237</v>
      </c>
      <c r="E9" s="13"/>
      <c r="F9" s="12">
        <v>77</v>
      </c>
      <c r="G9" s="13"/>
      <c r="H9" s="12">
        <v>0.8336</v>
      </c>
      <c r="I9" s="12">
        <v>1.0033</v>
      </c>
      <c r="J9" s="12">
        <v>0.8419</v>
      </c>
      <c r="K9" s="12">
        <v>0.9173</v>
      </c>
      <c r="L9" s="12">
        <v>0.2803</v>
      </c>
      <c r="M9" s="12">
        <v>0.5657</v>
      </c>
      <c r="N9" s="13"/>
      <c r="O9" s="13"/>
    </row>
    <row r="10" ht="20.05" customHeight="1">
      <c r="A10" t="s" s="9">
        <v>449</v>
      </c>
      <c r="B10" s="17"/>
      <c r="C10" s="13"/>
      <c r="D10" s="13"/>
      <c r="E10" s="13"/>
      <c r="F10" s="13"/>
      <c r="G10" s="13"/>
      <c r="H10" s="13"/>
      <c r="I10" s="12" cm="1">
        <f t="array" ref="I10">AVERAGE(I5:I9)</f>
        <v>0.99704</v>
      </c>
      <c r="J10" s="12" cm="1">
        <f t="array" ref="J10">AVERAGE(J5:J9)</f>
        <v>0.84356</v>
      </c>
      <c r="K10" s="12" cm="1">
        <f t="array" ref="K10">AVERAGE(K5:K9)</f>
        <v>0.91774</v>
      </c>
      <c r="L10" s="12" cm="1">
        <f t="array" ref="L10">AVERAGE(L5:L9)</f>
        <v>0.2798</v>
      </c>
      <c r="M10" s="12" cm="1">
        <f t="array" ref="M10">AVERAGE(M5:M9)</f>
        <v>0.56368</v>
      </c>
      <c r="N10" s="13"/>
      <c r="O10" s="13"/>
    </row>
    <row r="11" ht="20.05" customHeight="1">
      <c r="A11" t="s" s="9">
        <v>450</v>
      </c>
      <c r="B11" s="17"/>
      <c r="C11" s="13"/>
      <c r="D11" s="13"/>
      <c r="E11" s="13"/>
      <c r="F11" s="13"/>
      <c r="G11" s="13"/>
      <c r="H11" s="13"/>
      <c r="I11" s="12" cm="1">
        <f t="array" ref="I11">STDEV(I5:I9)</f>
        <v>0.09451506758184119</v>
      </c>
      <c r="J11" s="12" cm="1">
        <f t="array" ref="J11">STDEV(J5:J9)</f>
        <v>0.00779891018027519</v>
      </c>
      <c r="K11" s="12" cm="1">
        <f t="array" ref="K11">STDEV(K5:K9)</f>
        <v>0.00450255483031578</v>
      </c>
      <c r="L11" s="12" cm="1">
        <f t="array" ref="L11">STDEV(L5:L9)</f>
        <v>0.0338949111224679</v>
      </c>
      <c r="M11" s="12" cm="1">
        <f t="array" ref="M11">STDEV(M5:M9)</f>
        <v>0.009831429194171111</v>
      </c>
      <c r="N11" s="13"/>
      <c r="O11" s="13"/>
    </row>
    <row r="12" ht="20.05" customHeight="1">
      <c r="A12" t="s" s="9">
        <v>451</v>
      </c>
      <c r="B12" s="17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</row>
    <row r="13" ht="32.05" customHeight="1">
      <c r="A13" t="s" s="9">
        <v>309</v>
      </c>
      <c r="B13" t="s" s="10">
        <v>445</v>
      </c>
      <c r="C13" t="s" s="11">
        <v>239</v>
      </c>
      <c r="D13" t="s" s="11">
        <v>245</v>
      </c>
      <c r="E13" s="13"/>
      <c r="F13" s="12">
        <v>37</v>
      </c>
      <c r="G13" s="13"/>
      <c r="H13" s="12">
        <v>0.9464</v>
      </c>
      <c r="I13" s="12">
        <v>1.113</v>
      </c>
      <c r="J13" s="12">
        <v>0.8359</v>
      </c>
      <c r="K13" s="12">
        <v>0.9134</v>
      </c>
      <c r="L13" s="12">
        <v>0.262</v>
      </c>
      <c r="M13" s="12">
        <v>0.5555</v>
      </c>
      <c r="N13" s="13"/>
      <c r="O13" s="13"/>
    </row>
    <row r="14" ht="32.05" customHeight="1">
      <c r="A14" t="s" s="9">
        <v>311</v>
      </c>
      <c r="B14" t="s" s="10">
        <v>445</v>
      </c>
      <c r="C14" t="s" s="11">
        <v>239</v>
      </c>
      <c r="D14" t="s" s="11">
        <v>245</v>
      </c>
      <c r="E14" s="13"/>
      <c r="F14" s="12">
        <v>79</v>
      </c>
      <c r="G14" s="13"/>
      <c r="H14" s="12">
        <v>0.8195</v>
      </c>
      <c r="I14" s="12">
        <v>0.9937</v>
      </c>
      <c r="J14" s="12">
        <v>0.8429</v>
      </c>
      <c r="K14" s="12">
        <v>0.9167</v>
      </c>
      <c r="L14" s="12">
        <v>0.3262</v>
      </c>
      <c r="M14" s="12">
        <v>0.5806</v>
      </c>
      <c r="N14" s="13"/>
      <c r="O14" s="13"/>
    </row>
    <row r="15" ht="32.05" customHeight="1">
      <c r="A15" t="s" s="9">
        <v>314</v>
      </c>
      <c r="B15" t="s" s="10">
        <v>445</v>
      </c>
      <c r="C15" t="s" s="11">
        <v>239</v>
      </c>
      <c r="D15" t="s" s="11">
        <v>245</v>
      </c>
      <c r="E15" s="13"/>
      <c r="F15" s="12">
        <v>59</v>
      </c>
      <c r="G15" s="13"/>
      <c r="H15" s="12">
        <v>0.7881</v>
      </c>
      <c r="I15" s="12">
        <v>0.956</v>
      </c>
      <c r="J15" s="12">
        <v>0.8502</v>
      </c>
      <c r="K15" s="12">
        <v>0.9214</v>
      </c>
      <c r="L15" s="12">
        <v>0.2785</v>
      </c>
      <c r="M15" s="12">
        <v>0.5596</v>
      </c>
      <c r="N15" s="13"/>
      <c r="O15" s="13"/>
    </row>
    <row r="16" ht="32.05" customHeight="1">
      <c r="A16" t="s" s="9">
        <v>316</v>
      </c>
      <c r="B16" t="s" s="10">
        <v>445</v>
      </c>
      <c r="C16" t="s" s="11">
        <v>239</v>
      </c>
      <c r="D16" t="s" s="11">
        <v>245</v>
      </c>
      <c r="E16" s="13"/>
      <c r="F16" s="12">
        <v>66</v>
      </c>
      <c r="G16" s="13"/>
      <c r="H16" s="12">
        <v>0.7147</v>
      </c>
      <c r="I16" s="12">
        <v>0.8839</v>
      </c>
      <c r="J16" s="12">
        <v>0.8515</v>
      </c>
      <c r="K16" s="12">
        <v>0.9225</v>
      </c>
      <c r="L16" s="12">
        <v>0.293</v>
      </c>
      <c r="M16" s="12">
        <v>0.5642</v>
      </c>
      <c r="N16" s="13"/>
      <c r="O16" s="13"/>
    </row>
    <row r="17" ht="32.05" customHeight="1">
      <c r="A17" t="s" s="9">
        <v>318</v>
      </c>
      <c r="B17" t="s" s="10">
        <v>445</v>
      </c>
      <c r="C17" t="s" s="11">
        <v>239</v>
      </c>
      <c r="D17" t="s" s="11">
        <v>245</v>
      </c>
      <c r="E17" s="13"/>
      <c r="F17" s="12">
        <v>45</v>
      </c>
      <c r="G17" s="13"/>
      <c r="H17" s="12">
        <v>0.8384</v>
      </c>
      <c r="I17" s="12">
        <v>1.0077</v>
      </c>
      <c r="J17" s="12">
        <v>0.8414</v>
      </c>
      <c r="K17" s="12">
        <v>0.917</v>
      </c>
      <c r="L17" s="12">
        <v>0.2813</v>
      </c>
      <c r="M17" s="12">
        <v>0.5641</v>
      </c>
      <c r="N17" s="13"/>
      <c r="O17" s="13"/>
    </row>
    <row r="18" ht="20.05" customHeight="1">
      <c r="A18" t="s" s="9">
        <v>449</v>
      </c>
      <c r="B18" s="17"/>
      <c r="C18" s="13"/>
      <c r="D18" s="13"/>
      <c r="E18" s="13"/>
      <c r="F18" s="13"/>
      <c r="G18" s="13"/>
      <c r="H18" s="13"/>
      <c r="I18" s="12" cm="1">
        <f t="array" ref="I18">AVERAGE(I13:I17)</f>
        <v>0.99086</v>
      </c>
      <c r="J18" s="12" cm="1">
        <f t="array" ref="J18">AVERAGE(J13:J17)</f>
        <v>0.84438</v>
      </c>
      <c r="K18" s="12" cm="1">
        <f t="array" ref="K18">AVERAGE(K13:K17)</f>
        <v>0.9182</v>
      </c>
      <c r="L18" s="12" cm="1">
        <f t="array" ref="L18">AVERAGE(L13:L17)</f>
        <v>0.2882</v>
      </c>
      <c r="M18" s="12" cm="1">
        <f t="array" ref="M18">AVERAGE(M13:M17)</f>
        <v>0.5648</v>
      </c>
      <c r="N18" s="13"/>
      <c r="O18" s="13"/>
    </row>
    <row r="19" ht="20.05" customHeight="1">
      <c r="A19" t="s" s="9">
        <v>450</v>
      </c>
      <c r="B19" s="17"/>
      <c r="C19" s="13"/>
      <c r="D19" s="13"/>
      <c r="E19" s="13"/>
      <c r="F19" s="13"/>
      <c r="G19" s="13"/>
      <c r="H19" s="13"/>
      <c r="I19" s="12" cm="1">
        <f t="array" ref="I19">STDEV(I13:I17)</f>
        <v>0.08346480096423881</v>
      </c>
      <c r="J19" s="12" cm="1">
        <f t="array" ref="J19">STDEV(J13:J17)</f>
        <v>0.00647201668724672</v>
      </c>
      <c r="K19" s="12" cm="1">
        <f t="array" ref="K19">STDEV(K13:K17)</f>
        <v>0.00372357355238217</v>
      </c>
      <c r="L19" s="12" cm="1">
        <f t="array" ref="L19">STDEV(L13:L17)</f>
        <v>0.023954018452026</v>
      </c>
      <c r="M19" s="12" cm="1">
        <f t="array" ref="M19">STDEV(M13:M17)</f>
        <v>0.00953965408177886</v>
      </c>
      <c r="N19" s="13"/>
      <c r="O19" s="13"/>
    </row>
    <row r="20" ht="20.05" customHeight="1">
      <c r="A20" s="16"/>
      <c r="B20" s="17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</row>
    <row r="21" ht="20.05" customHeight="1">
      <c r="A21" s="16"/>
      <c r="B21" s="17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</row>
    <row r="22" ht="32.05" customHeight="1">
      <c r="A22" t="s" s="9">
        <v>452</v>
      </c>
      <c r="B22" s="17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</row>
    <row r="23" ht="20.05" customHeight="1">
      <c r="A23" t="s" s="9">
        <v>444</v>
      </c>
      <c r="B23" s="17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</row>
    <row r="24" ht="20.05" customHeight="1">
      <c r="A24" t="s" s="9">
        <v>334</v>
      </c>
      <c r="B24" s="17"/>
      <c r="C24" s="13"/>
      <c r="D24" s="13"/>
      <c r="E24" s="13"/>
      <c r="F24" s="12">
        <v>92</v>
      </c>
      <c r="G24" s="13"/>
      <c r="H24" s="13"/>
      <c r="I24" s="13"/>
      <c r="J24" s="13"/>
      <c r="K24" s="13"/>
      <c r="L24" s="13"/>
      <c r="M24" s="13"/>
      <c r="N24" s="13"/>
      <c r="O24" s="13"/>
    </row>
    <row r="25" ht="20.05" customHeight="1">
      <c r="A25" t="s" s="9">
        <v>336</v>
      </c>
      <c r="B25" s="17"/>
      <c r="C25" s="13"/>
      <c r="D25" s="13"/>
      <c r="E25" s="13"/>
      <c r="F25" s="12">
        <v>92</v>
      </c>
      <c r="G25" s="13"/>
      <c r="H25" s="13"/>
      <c r="I25" s="13"/>
      <c r="J25" s="13"/>
      <c r="K25" s="13"/>
      <c r="L25" s="13"/>
      <c r="M25" s="13"/>
      <c r="N25" s="13"/>
      <c r="O25" s="13"/>
    </row>
    <row r="26" ht="20.05" customHeight="1">
      <c r="A26" t="s" s="9">
        <v>338</v>
      </c>
      <c r="B26" s="17"/>
      <c r="C26" s="13"/>
      <c r="D26" s="13"/>
      <c r="E26" s="13"/>
      <c r="F26" s="12">
        <v>92</v>
      </c>
      <c r="G26" s="13"/>
      <c r="H26" s="13"/>
      <c r="I26" s="13"/>
      <c r="J26" s="13"/>
      <c r="K26" s="13"/>
      <c r="L26" s="13"/>
      <c r="M26" s="13"/>
      <c r="N26" s="13"/>
      <c r="O26" s="13"/>
    </row>
    <row r="27" ht="20.05" customHeight="1">
      <c r="A27" t="s" s="9">
        <v>340</v>
      </c>
      <c r="B27" s="17"/>
      <c r="C27" s="13"/>
      <c r="D27" s="13"/>
      <c r="E27" s="13"/>
      <c r="F27" s="12">
        <v>92</v>
      </c>
      <c r="G27" s="13"/>
      <c r="H27" s="13"/>
      <c r="I27" s="13"/>
      <c r="J27" s="13"/>
      <c r="K27" s="13"/>
      <c r="L27" s="13"/>
      <c r="M27" s="13"/>
      <c r="N27" s="13"/>
      <c r="O27" s="13"/>
    </row>
    <row r="28" ht="20.05" customHeight="1">
      <c r="A28" t="s" s="9">
        <v>342</v>
      </c>
      <c r="B28" s="17"/>
      <c r="C28" s="13"/>
      <c r="D28" s="13"/>
      <c r="E28" s="13"/>
      <c r="F28" s="12">
        <v>92</v>
      </c>
      <c r="G28" s="13"/>
      <c r="H28" s="13"/>
      <c r="I28" s="13"/>
      <c r="J28" s="13"/>
      <c r="K28" s="13"/>
      <c r="L28" s="13"/>
      <c r="M28" s="13"/>
      <c r="N28" s="13"/>
      <c r="O28" s="13"/>
    </row>
    <row r="29" ht="20.05" customHeight="1">
      <c r="A29" t="s" s="9">
        <v>449</v>
      </c>
      <c r="B29" s="17"/>
      <c r="C29" s="13"/>
      <c r="D29" s="13"/>
      <c r="E29" s="13"/>
      <c r="F29" s="13"/>
      <c r="G29" s="13"/>
      <c r="H29" s="13"/>
      <c r="I29" s="13" cm="1">
        <f t="array" ref="I29">AVERAGE(I24:I28)</f>
      </c>
      <c r="J29" s="13" cm="1">
        <f t="array" ref="J29">AVERAGE(J24:J28)</f>
      </c>
      <c r="K29" s="13" cm="1">
        <f t="array" ref="K29">AVERAGE(K24:K28)</f>
      </c>
      <c r="L29" s="13" cm="1">
        <f t="array" ref="L29">AVERAGE(L24:L28)</f>
      </c>
      <c r="M29" s="13" cm="1">
        <f t="array" ref="M29">AVERAGE(M24:M28)</f>
      </c>
      <c r="N29" s="13"/>
      <c r="O29" s="13"/>
    </row>
    <row r="30" ht="20.05" customHeight="1">
      <c r="A30" t="s" s="9">
        <v>450</v>
      </c>
      <c r="B30" s="17"/>
      <c r="C30" s="13"/>
      <c r="D30" s="13"/>
      <c r="E30" s="13"/>
      <c r="F30" s="13"/>
      <c r="G30" s="13"/>
      <c r="H30" s="13"/>
      <c r="I30" s="13" cm="1">
        <f t="array" ref="I30">STDEV(I24:I28)</f>
      </c>
      <c r="J30" s="13" cm="1">
        <f t="array" ref="J30">STDEV(J24:J28)</f>
      </c>
      <c r="K30" s="13" cm="1">
        <f t="array" ref="K30">STDEV(K24:K28)</f>
      </c>
      <c r="L30" s="13" cm="1">
        <f t="array" ref="L30">STDEV(L24:L28)</f>
      </c>
      <c r="M30" s="13" cm="1">
        <f t="array" ref="M30">STDEV(M24:M28)</f>
      </c>
      <c r="N30" s="13"/>
      <c r="O30" s="13"/>
    </row>
    <row r="31" ht="32.05" customHeight="1">
      <c r="A31" t="s" s="9">
        <v>453</v>
      </c>
      <c r="B31" s="17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</row>
    <row r="32" ht="20.05" customHeight="1">
      <c r="A32" t="s" s="9">
        <v>334</v>
      </c>
      <c r="B32" s="17"/>
      <c r="C32" s="13"/>
      <c r="D32" s="13"/>
      <c r="E32" s="13"/>
      <c r="F32" s="12">
        <v>92</v>
      </c>
      <c r="G32" s="13"/>
      <c r="H32" s="13"/>
      <c r="I32" s="13"/>
      <c r="J32" s="13"/>
      <c r="K32" s="13"/>
      <c r="L32" s="13"/>
      <c r="M32" s="13"/>
      <c r="N32" s="13"/>
      <c r="O32" s="13"/>
    </row>
    <row r="33" ht="20.05" customHeight="1">
      <c r="A33" t="s" s="9">
        <v>336</v>
      </c>
      <c r="B33" s="17"/>
      <c r="C33" s="13"/>
      <c r="D33" s="13"/>
      <c r="E33" s="13"/>
      <c r="F33" s="12">
        <v>100</v>
      </c>
      <c r="G33" s="13"/>
      <c r="H33" s="13"/>
      <c r="I33" s="13"/>
      <c r="J33" s="13"/>
      <c r="K33" s="13"/>
      <c r="L33" s="13"/>
      <c r="M33" s="13"/>
      <c r="N33" s="13"/>
      <c r="O33" s="13"/>
    </row>
    <row r="34" ht="20.05" customHeight="1">
      <c r="A34" t="s" s="9">
        <v>338</v>
      </c>
      <c r="B34" s="17"/>
      <c r="C34" s="13"/>
      <c r="D34" s="13"/>
      <c r="E34" s="13"/>
      <c r="F34" s="12">
        <v>92</v>
      </c>
      <c r="G34" s="13"/>
      <c r="H34" s="13"/>
      <c r="I34" s="13"/>
      <c r="J34" s="13"/>
      <c r="K34" s="13"/>
      <c r="L34" s="13"/>
      <c r="M34" s="13"/>
      <c r="N34" s="13"/>
      <c r="O34" s="13"/>
    </row>
    <row r="35" ht="20.05" customHeight="1">
      <c r="A35" t="s" s="9">
        <v>340</v>
      </c>
      <c r="B35" s="17"/>
      <c r="C35" s="13"/>
      <c r="D35" s="13"/>
      <c r="E35" s="13"/>
      <c r="F35" s="12">
        <v>92</v>
      </c>
      <c r="G35" s="13"/>
      <c r="H35" s="13"/>
      <c r="I35" s="13"/>
      <c r="J35" s="13"/>
      <c r="K35" s="13"/>
      <c r="L35" s="13"/>
      <c r="M35" s="13"/>
      <c r="N35" s="13"/>
      <c r="O35" s="13"/>
    </row>
    <row r="36" ht="20.05" customHeight="1">
      <c r="A36" t="s" s="9">
        <v>342</v>
      </c>
      <c r="B36" s="17"/>
      <c r="C36" s="13"/>
      <c r="D36" s="13"/>
      <c r="E36" s="13"/>
      <c r="F36" s="12">
        <v>92</v>
      </c>
      <c r="G36" s="13"/>
      <c r="H36" s="13"/>
      <c r="I36" s="13"/>
      <c r="J36" s="13"/>
      <c r="K36" s="13"/>
      <c r="L36" s="13"/>
      <c r="M36" s="13"/>
      <c r="N36" s="13"/>
      <c r="O36" s="13"/>
    </row>
    <row r="37" ht="20.05" customHeight="1">
      <c r="A37" t="s" s="9">
        <v>449</v>
      </c>
      <c r="B37" s="17"/>
      <c r="C37" s="13"/>
      <c r="D37" s="13"/>
      <c r="E37" s="13"/>
      <c r="F37" s="13"/>
      <c r="G37" s="13"/>
      <c r="H37" s="13"/>
      <c r="I37" s="13" cm="1">
        <f t="array" ref="I37">AVERAGE(I32:I36)</f>
      </c>
      <c r="J37" s="13" cm="1">
        <f t="array" ref="J37">AVERAGE(J32:J36)</f>
      </c>
      <c r="K37" s="13" cm="1">
        <f t="array" ref="K37">AVERAGE(K32:K36)</f>
      </c>
      <c r="L37" s="13" cm="1">
        <f t="array" ref="L37">AVERAGE(L32:L36)</f>
      </c>
      <c r="M37" s="13" cm="1">
        <f t="array" ref="M37">AVERAGE(M32:M36)</f>
      </c>
      <c r="N37" s="13"/>
      <c r="O37" s="13"/>
    </row>
    <row r="38" ht="20.05" customHeight="1">
      <c r="A38" t="s" s="9">
        <v>450</v>
      </c>
      <c r="B38" s="17"/>
      <c r="C38" s="13"/>
      <c r="D38" s="13"/>
      <c r="E38" s="13"/>
      <c r="F38" s="13"/>
      <c r="G38" s="13"/>
      <c r="H38" s="13"/>
      <c r="I38" s="13" cm="1">
        <f t="array" ref="I38">STDEV(I32:I36)</f>
      </c>
      <c r="J38" s="13" cm="1">
        <f t="array" ref="J38">STDEV(J32:J36)</f>
      </c>
      <c r="K38" s="13" cm="1">
        <f t="array" ref="K38">STDEV(K32:K36)</f>
      </c>
      <c r="L38" s="13" cm="1">
        <f t="array" ref="L38">STDEV(L32:L36)</f>
      </c>
      <c r="M38" s="13" cm="1">
        <f t="array" ref="M38">STDEV(M32:M36)</f>
      </c>
      <c r="N38" s="13"/>
      <c r="O38" s="13"/>
    </row>
    <row r="39" ht="20.05" customHeight="1">
      <c r="A39" s="16"/>
      <c r="B39" s="17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</row>
    <row r="40" ht="32.05" customHeight="1">
      <c r="A40" t="s" s="9">
        <v>452</v>
      </c>
      <c r="B40" s="17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</row>
    <row r="41" ht="20.05" customHeight="1">
      <c r="A41" t="s" s="9">
        <v>454</v>
      </c>
      <c r="B41" s="17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</row>
    <row r="42" ht="20.05" customHeight="1">
      <c r="A42" t="s" s="9">
        <v>334</v>
      </c>
      <c r="B42" s="17"/>
      <c r="C42" s="13"/>
      <c r="D42" s="13"/>
      <c r="E42" s="13"/>
      <c r="F42" s="12">
        <v>192</v>
      </c>
      <c r="G42" s="13"/>
      <c r="H42" s="12">
        <v>0.6005</v>
      </c>
      <c r="I42" s="12">
        <v>0.7875</v>
      </c>
      <c r="J42" s="12">
        <v>0.8724</v>
      </c>
      <c r="K42" s="12">
        <v>0.9331</v>
      </c>
      <c r="L42" s="12">
        <v>0.3822</v>
      </c>
      <c r="M42" s="12">
        <v>0.6231</v>
      </c>
      <c r="N42" s="13"/>
      <c r="O42" s="13"/>
    </row>
    <row r="43" ht="20.05" customHeight="1">
      <c r="A43" t="s" s="9">
        <v>336</v>
      </c>
      <c r="B43" s="17"/>
      <c r="C43" s="13"/>
      <c r="D43" s="13"/>
      <c r="E43" s="13"/>
      <c r="F43" s="12">
        <v>182</v>
      </c>
      <c r="G43" s="13"/>
      <c r="H43" s="12">
        <v>0.6332</v>
      </c>
      <c r="I43" s="12">
        <v>0.8205</v>
      </c>
      <c r="J43" s="12">
        <v>0.8669</v>
      </c>
      <c r="K43" s="12">
        <v>0.9302</v>
      </c>
      <c r="L43" s="12">
        <v>0.3848</v>
      </c>
      <c r="M43" s="12">
        <v>0.6243</v>
      </c>
      <c r="N43" s="13"/>
      <c r="O43" s="13"/>
    </row>
    <row r="44" ht="20.05" customHeight="1">
      <c r="A44" t="s" s="9">
        <v>338</v>
      </c>
      <c r="B44" s="17"/>
      <c r="C44" s="13"/>
      <c r="D44" s="13"/>
      <c r="E44" s="13"/>
      <c r="F44" s="12">
        <v>191</v>
      </c>
      <c r="G44" s="13"/>
      <c r="H44" s="12">
        <v>0.5991</v>
      </c>
      <c r="I44" s="12">
        <v>0.7865</v>
      </c>
      <c r="J44" s="12">
        <v>0.8729</v>
      </c>
      <c r="K44" s="12">
        <v>0.9334</v>
      </c>
      <c r="L44" s="12">
        <v>0.3852</v>
      </c>
      <c r="M44" s="12">
        <v>0.6248</v>
      </c>
      <c r="N44" s="13"/>
      <c r="O44" s="13"/>
    </row>
    <row r="45" ht="20.05" customHeight="1">
      <c r="A45" t="s" s="9">
        <v>340</v>
      </c>
      <c r="B45" s="17"/>
      <c r="C45" s="13"/>
      <c r="D45" s="13"/>
      <c r="E45" s="13"/>
      <c r="F45" s="12">
        <v>192</v>
      </c>
      <c r="G45" s="13"/>
      <c r="H45" s="12">
        <v>0.6158</v>
      </c>
      <c r="I45" s="12">
        <v>0.8031</v>
      </c>
      <c r="J45" s="12">
        <v>0.8709</v>
      </c>
      <c r="K45" s="12">
        <v>0.9322</v>
      </c>
      <c r="L45" s="12">
        <v>0.3861</v>
      </c>
      <c r="M45" s="12">
        <v>0.6246</v>
      </c>
      <c r="N45" s="13"/>
      <c r="O45" s="13"/>
    </row>
    <row r="46" ht="20.05" customHeight="1">
      <c r="A46" t="s" s="9">
        <v>342</v>
      </c>
      <c r="B46" s="17"/>
      <c r="C46" s="13"/>
      <c r="D46" s="13"/>
      <c r="E46" s="13"/>
      <c r="F46" s="12">
        <v>112</v>
      </c>
      <c r="G46" s="13"/>
      <c r="H46" s="12">
        <v>0.6131</v>
      </c>
      <c r="I46" s="12">
        <v>0.7997</v>
      </c>
      <c r="J46" s="12">
        <v>0.8708</v>
      </c>
      <c r="K46" s="12">
        <v>0.9323</v>
      </c>
      <c r="L46" s="12">
        <v>0.3832</v>
      </c>
      <c r="M46" s="12">
        <v>0.6222</v>
      </c>
      <c r="N46" s="13"/>
      <c r="O46" s="13"/>
    </row>
    <row r="47" ht="20.05" customHeight="1">
      <c r="A47" t="s" s="9">
        <v>449</v>
      </c>
      <c r="B47" s="17"/>
      <c r="C47" s="13"/>
      <c r="D47" s="13"/>
      <c r="E47" s="13"/>
      <c r="F47" s="13"/>
      <c r="G47" s="13"/>
      <c r="H47" s="13"/>
      <c r="I47" s="12" cm="1">
        <f t="array" ref="I47">AVERAGE(I42:I46)</f>
        <v>0.7994599999999999</v>
      </c>
      <c r="J47" s="12" cm="1">
        <f t="array" ref="J47">AVERAGE(J42:J46)</f>
        <v>0.87078</v>
      </c>
      <c r="K47" s="12" cm="1">
        <f t="array" ref="K47">AVERAGE(K42:K46)</f>
        <v>0.93224</v>
      </c>
      <c r="L47" s="12" cm="1">
        <f t="array" ref="L47">AVERAGE(L42:L46)</f>
        <v>0.3843</v>
      </c>
      <c r="M47" s="12" cm="1">
        <f t="array" ref="M47">AVERAGE(M42:M46)</f>
        <v>0.6238</v>
      </c>
      <c r="N47" s="13"/>
      <c r="O47" s="13"/>
    </row>
    <row r="48" ht="20.05" customHeight="1">
      <c r="A48" t="s" s="9">
        <v>450</v>
      </c>
      <c r="B48" s="17"/>
      <c r="C48" s="13"/>
      <c r="D48" s="13"/>
      <c r="E48" s="13"/>
      <c r="F48" s="13"/>
      <c r="G48" s="13"/>
      <c r="H48" s="13"/>
      <c r="I48" s="12" cm="1">
        <f t="array" ref="I48">STDEV(I42:I46)</f>
        <v>0.0138473102081235</v>
      </c>
      <c r="J48" s="12" cm="1">
        <f t="array" ref="J48">STDEV(J42:J46)</f>
        <v>0.00235520699727221</v>
      </c>
      <c r="K48" s="12" cm="1">
        <f t="array" ref="K48">STDEV(K42:K46)</f>
        <v>0.00125019998400256</v>
      </c>
      <c r="L48" s="12" cm="1">
        <f t="array" ref="L48">STDEV(L42:L46)</f>
        <v>0.00157480157480236</v>
      </c>
      <c r="M48" s="12" cm="1">
        <f t="array" ref="M48">STDEV(M42:M46)</f>
        <v>0.00111130553854464</v>
      </c>
      <c r="N48" s="13"/>
      <c r="O48" s="13"/>
    </row>
    <row r="49" ht="32.05" customHeight="1">
      <c r="A49" t="s" s="9">
        <v>453</v>
      </c>
      <c r="B49" s="17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</row>
    <row r="50" ht="20.05" customHeight="1">
      <c r="A50" t="s" s="9">
        <v>334</v>
      </c>
      <c r="B50" s="17"/>
      <c r="C50" s="13"/>
      <c r="D50" s="13"/>
      <c r="E50" s="13"/>
      <c r="F50" s="12">
        <v>191</v>
      </c>
      <c r="G50" s="13"/>
      <c r="H50" s="12">
        <v>0.5977</v>
      </c>
      <c r="I50" s="12">
        <v>0.7851</v>
      </c>
      <c r="J50" s="12">
        <v>0.8727</v>
      </c>
      <c r="K50" s="12">
        <v>0.9333</v>
      </c>
      <c r="L50" s="12">
        <v>0.3849</v>
      </c>
      <c r="M50" s="12">
        <v>0.6247</v>
      </c>
      <c r="N50" s="13"/>
      <c r="O50" s="13"/>
    </row>
    <row r="51" ht="20.05" customHeight="1">
      <c r="A51" t="s" s="9">
        <v>336</v>
      </c>
      <c r="B51" s="17"/>
      <c r="C51" s="13"/>
      <c r="D51" s="13"/>
      <c r="E51" s="13"/>
      <c r="F51" s="12">
        <v>182</v>
      </c>
      <c r="G51" s="13"/>
      <c r="H51" s="12">
        <v>0.6294</v>
      </c>
      <c r="I51" s="12">
        <v>0.8171</v>
      </c>
      <c r="J51" s="12">
        <v>0.8673999999999999</v>
      </c>
      <c r="K51" s="12">
        <v>0.9304</v>
      </c>
      <c r="L51" s="12">
        <v>0.3874</v>
      </c>
      <c r="M51" s="12">
        <v>0.6259</v>
      </c>
      <c r="N51" s="13"/>
      <c r="O51" s="13"/>
    </row>
    <row r="52" ht="20.05" customHeight="1">
      <c r="A52" t="s" s="9">
        <v>338</v>
      </c>
      <c r="B52" s="17"/>
      <c r="C52" s="13"/>
      <c r="D52" s="13"/>
      <c r="E52" s="13"/>
      <c r="F52" s="12">
        <v>192</v>
      </c>
      <c r="G52" s="13"/>
      <c r="H52" s="12">
        <v>0.5968</v>
      </c>
      <c r="I52" s="12">
        <v>0.7846</v>
      </c>
      <c r="J52" s="12">
        <v>0.8732</v>
      </c>
      <c r="K52" s="12">
        <v>0.9335</v>
      </c>
      <c r="L52" s="12">
        <v>0.3886</v>
      </c>
      <c r="M52" s="12">
        <v>0.6259</v>
      </c>
      <c r="N52" s="13"/>
      <c r="O52" s="13"/>
    </row>
    <row r="53" ht="20.05" customHeight="1">
      <c r="A53" t="s" s="9">
        <v>340</v>
      </c>
      <c r="B53" s="17"/>
      <c r="C53" s="13"/>
      <c r="D53" s="13"/>
      <c r="E53" s="13"/>
      <c r="F53" s="12">
        <v>192</v>
      </c>
      <c r="G53" s="13"/>
      <c r="H53" s="12">
        <v>0.6172</v>
      </c>
      <c r="I53" s="12">
        <v>0.8046</v>
      </c>
      <c r="J53" s="12">
        <v>0.8706</v>
      </c>
      <c r="K53" s="12">
        <v>0.9320000000000001</v>
      </c>
      <c r="L53" s="12">
        <v>0.3859</v>
      </c>
      <c r="M53" s="12">
        <v>0.6246</v>
      </c>
      <c r="N53" s="13"/>
      <c r="O53" s="13"/>
    </row>
    <row r="54" ht="20.05" customHeight="1">
      <c r="A54" t="s" s="9">
        <v>342</v>
      </c>
      <c r="B54" s="17"/>
      <c r="C54" s="13"/>
      <c r="D54" s="13"/>
      <c r="E54" s="13"/>
      <c r="F54" s="12">
        <v>191</v>
      </c>
      <c r="G54" s="13"/>
      <c r="H54" s="12">
        <v>0.6096</v>
      </c>
      <c r="I54" s="12">
        <v>0.7973</v>
      </c>
      <c r="J54" s="12">
        <v>0.8712</v>
      </c>
      <c r="K54" s="12">
        <v>0.9325</v>
      </c>
      <c r="L54" s="12">
        <v>0.3869</v>
      </c>
      <c r="M54" s="12">
        <v>0.6256</v>
      </c>
      <c r="N54" s="13"/>
      <c r="O54" s="13"/>
    </row>
    <row r="55" ht="20.05" customHeight="1">
      <c r="A55" t="s" s="9">
        <v>449</v>
      </c>
      <c r="B55" s="17"/>
      <c r="C55" s="13"/>
      <c r="D55" s="13"/>
      <c r="E55" s="13"/>
      <c r="F55" s="13"/>
      <c r="G55" s="13"/>
      <c r="H55" s="13"/>
      <c r="I55" s="12" cm="1">
        <f t="array" ref="I55">AVERAGE(I50:I54)</f>
        <v>0.79774</v>
      </c>
      <c r="J55" s="12" cm="1">
        <f t="array" ref="J55">AVERAGE(J50:J54)</f>
        <v>0.87102</v>
      </c>
      <c r="K55" s="12" cm="1">
        <f t="array" ref="K55">AVERAGE(K50:K54)</f>
        <v>0.9323399999999999</v>
      </c>
      <c r="L55" s="12" cm="1">
        <f t="array" ref="L55">AVERAGE(L50:L54)</f>
        <v>0.38674</v>
      </c>
      <c r="M55" s="12" cm="1">
        <f t="array" ref="M55">AVERAGE(M50:M54)</f>
        <v>0.62534</v>
      </c>
      <c r="N55" s="13"/>
      <c r="O55" s="13"/>
    </row>
    <row r="56" ht="20.05" customHeight="1">
      <c r="A56" t="s" s="9">
        <v>450</v>
      </c>
      <c r="B56" s="17"/>
      <c r="C56" s="13"/>
      <c r="D56" s="13"/>
      <c r="E56" s="13"/>
      <c r="F56" s="13"/>
      <c r="G56" s="13"/>
      <c r="H56" s="13"/>
      <c r="I56" s="12" cm="1">
        <f t="array" ref="I56">STDEV(I50:I54)</f>
        <v>0.0137340088830611</v>
      </c>
      <c r="J56" s="12" cm="1">
        <f t="array" ref="J56">STDEV(J50:J54)</f>
        <v>0.00228516957795259</v>
      </c>
      <c r="K56" s="12" cm="1">
        <f t="array" ref="K56">STDEV(K50:K54)</f>
        <v>0.00124217551094843</v>
      </c>
      <c r="L56" s="12" cm="1">
        <f t="array" ref="L56">STDEV(L50:L54)</f>
        <v>0.00141527382509534</v>
      </c>
      <c r="M56" s="12" cm="1">
        <f t="array" ref="M56">STDEV(M50:M54)</f>
        <v>0.000642650760522385</v>
      </c>
      <c r="N56" s="13"/>
      <c r="O56" s="13"/>
    </row>
    <row r="57" ht="20.05" customHeight="1">
      <c r="A57" s="16"/>
      <c r="B57" s="17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</row>
    <row r="58" ht="20.05" customHeight="1">
      <c r="A58" s="16"/>
      <c r="B58" s="17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</row>
    <row r="59" ht="20.05" customHeight="1">
      <c r="A59" s="16"/>
      <c r="B59" s="17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</row>
    <row r="60" ht="20.05" customHeight="1">
      <c r="A60" s="16"/>
      <c r="B60" s="17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</row>
    <row r="61" ht="32.05" customHeight="1">
      <c r="A61" t="s" s="9">
        <v>455</v>
      </c>
      <c r="B61" s="17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</row>
    <row r="62" ht="20.05" customHeight="1">
      <c r="A62" t="s" s="9">
        <v>444</v>
      </c>
      <c r="B62" s="17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</row>
    <row r="63" ht="20.05" customHeight="1">
      <c r="A63" t="s" s="9">
        <v>373</v>
      </c>
      <c r="B63" s="17"/>
      <c r="C63" s="13"/>
      <c r="D63" s="13"/>
      <c r="E63" s="13"/>
      <c r="F63" s="12">
        <v>100</v>
      </c>
      <c r="G63" s="13"/>
      <c r="H63" s="13"/>
      <c r="I63" s="13"/>
      <c r="J63" s="13"/>
      <c r="K63" s="13"/>
      <c r="L63" s="13"/>
      <c r="M63" s="13"/>
      <c r="N63" s="13"/>
      <c r="O63" s="13"/>
    </row>
    <row r="64" ht="20.05" customHeight="1">
      <c r="A64" t="s" s="9">
        <v>375</v>
      </c>
      <c r="B64" s="17"/>
      <c r="C64" s="13"/>
      <c r="D64" s="13"/>
      <c r="E64" s="13"/>
      <c r="F64" s="12">
        <v>100</v>
      </c>
      <c r="G64" s="13"/>
      <c r="H64" s="13"/>
      <c r="I64" s="13"/>
      <c r="J64" s="13"/>
      <c r="K64" s="13"/>
      <c r="L64" s="13"/>
      <c r="M64" s="13"/>
      <c r="N64" s="13"/>
      <c r="O64" s="13"/>
    </row>
    <row r="65" ht="20.05" customHeight="1">
      <c r="A65" t="s" s="9">
        <v>377</v>
      </c>
      <c r="B65" s="17"/>
      <c r="C65" s="13"/>
      <c r="D65" s="13"/>
      <c r="E65" s="13"/>
      <c r="F65" s="12">
        <v>100</v>
      </c>
      <c r="G65" s="13"/>
      <c r="H65" s="13"/>
      <c r="I65" s="13"/>
      <c r="J65" s="13"/>
      <c r="K65" s="13"/>
      <c r="L65" s="13"/>
      <c r="M65" s="13"/>
      <c r="N65" s="13"/>
      <c r="O65" s="13"/>
    </row>
    <row r="66" ht="20.05" customHeight="1">
      <c r="A66" t="s" s="9">
        <v>379</v>
      </c>
      <c r="B66" s="17"/>
      <c r="C66" s="13"/>
      <c r="D66" s="13"/>
      <c r="E66" s="13"/>
      <c r="F66" s="12">
        <v>100</v>
      </c>
      <c r="G66" s="13"/>
      <c r="H66" s="13"/>
      <c r="I66" s="13"/>
      <c r="J66" s="13"/>
      <c r="K66" s="13"/>
      <c r="L66" s="13"/>
      <c r="M66" s="13"/>
      <c r="N66" s="13"/>
      <c r="O66" s="13"/>
    </row>
    <row r="67" ht="20.05" customHeight="1">
      <c r="A67" t="s" s="9">
        <v>381</v>
      </c>
      <c r="B67" s="17"/>
      <c r="C67" s="13"/>
      <c r="D67" s="13"/>
      <c r="E67" s="13"/>
      <c r="F67" s="13"/>
      <c r="G67" s="13"/>
      <c r="H67" s="13"/>
      <c r="I67" s="13" cm="1">
        <f t="array" ref="I67">AVERAGE(I62:I66)</f>
      </c>
      <c r="J67" s="13" cm="1">
        <f t="array" ref="J67">AVERAGE(J62:J66)</f>
      </c>
      <c r="K67" s="13" cm="1">
        <f t="array" ref="K67">AVERAGE(K62:K66)</f>
      </c>
      <c r="L67" s="13" cm="1">
        <f t="array" ref="L67">AVERAGE(L62:L66)</f>
      </c>
      <c r="M67" s="13" cm="1">
        <f t="array" ref="M67">AVERAGE(M62:M66)</f>
      </c>
      <c r="N67" s="13"/>
      <c r="O67" s="13"/>
    </row>
    <row r="68" ht="20.05" customHeight="1">
      <c r="A68" t="s" s="9">
        <v>449</v>
      </c>
      <c r="B68" s="17"/>
      <c r="C68" s="13"/>
      <c r="D68" s="13"/>
      <c r="E68" s="13"/>
      <c r="F68" s="13"/>
      <c r="G68" s="13"/>
      <c r="H68" s="13"/>
      <c r="I68" s="13" cm="1">
        <f t="array" ref="I68">STDEV(I62:I66)</f>
      </c>
      <c r="J68" s="13" cm="1">
        <f t="array" ref="J68">STDEV(J62:J66)</f>
      </c>
      <c r="K68" s="13" cm="1">
        <f t="array" ref="K68">STDEV(K62:K66)</f>
      </c>
      <c r="L68" s="13" cm="1">
        <f t="array" ref="L68">STDEV(L62:L66)</f>
      </c>
      <c r="M68" s="13" cm="1">
        <f t="array" ref="M68">STDEV(M62:M66)</f>
      </c>
      <c r="N68" s="13"/>
      <c r="O68" s="13"/>
    </row>
    <row r="69" ht="20.05" customHeight="1">
      <c r="A69" t="s" s="9">
        <v>450</v>
      </c>
      <c r="B69" s="17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</row>
    <row r="70" ht="32.05" customHeight="1">
      <c r="A70" t="s" s="9">
        <v>456</v>
      </c>
      <c r="B70" s="17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</row>
    <row r="71" ht="20.05" customHeight="1">
      <c r="A71" t="s" s="9">
        <v>373</v>
      </c>
      <c r="B71" s="17"/>
      <c r="C71" s="13"/>
      <c r="D71" s="13"/>
      <c r="E71" s="13"/>
      <c r="F71" s="12">
        <v>92</v>
      </c>
      <c r="G71" s="13"/>
      <c r="H71" s="13"/>
      <c r="I71" s="13"/>
      <c r="J71" s="13"/>
      <c r="K71" s="13"/>
      <c r="L71" s="13"/>
      <c r="M71" s="13"/>
      <c r="N71" s="13"/>
      <c r="O71" s="13"/>
    </row>
    <row r="72" ht="20.05" customHeight="1">
      <c r="A72" t="s" s="9">
        <v>375</v>
      </c>
      <c r="B72" s="17"/>
      <c r="C72" s="13"/>
      <c r="D72" s="13"/>
      <c r="E72" s="13"/>
      <c r="F72" s="12">
        <v>92</v>
      </c>
      <c r="G72" s="13"/>
      <c r="H72" s="13"/>
      <c r="I72" s="13"/>
      <c r="J72" s="13"/>
      <c r="K72" s="13"/>
      <c r="L72" s="13"/>
      <c r="M72" s="13"/>
      <c r="N72" s="13"/>
      <c r="O72" s="13"/>
    </row>
    <row r="73" ht="20.05" customHeight="1">
      <c r="A73" t="s" s="9">
        <v>377</v>
      </c>
      <c r="B73" s="17"/>
      <c r="C73" s="13"/>
      <c r="D73" s="13"/>
      <c r="E73" s="13"/>
      <c r="F73" s="12">
        <v>100</v>
      </c>
      <c r="G73" s="13"/>
      <c r="H73" s="13"/>
      <c r="I73" s="13"/>
      <c r="J73" s="13"/>
      <c r="K73" s="13"/>
      <c r="L73" s="13"/>
      <c r="M73" s="13"/>
      <c r="N73" s="13"/>
      <c r="O73" s="13"/>
    </row>
    <row r="74" ht="20.05" customHeight="1">
      <c r="A74" t="s" s="9">
        <v>379</v>
      </c>
      <c r="B74" s="17"/>
      <c r="C74" s="13"/>
      <c r="D74" s="13"/>
      <c r="E74" s="13"/>
      <c r="F74" s="12">
        <v>100</v>
      </c>
      <c r="G74" s="13"/>
      <c r="H74" s="13"/>
      <c r="I74" s="13"/>
      <c r="J74" s="13"/>
      <c r="K74" s="13"/>
      <c r="L74" s="13"/>
      <c r="M74" s="13"/>
      <c r="N74" s="13"/>
      <c r="O74" s="13"/>
    </row>
    <row r="75" ht="20.05" customHeight="1">
      <c r="A75" t="s" s="9">
        <v>381</v>
      </c>
      <c r="B75" s="17"/>
      <c r="C75" s="13"/>
      <c r="D75" s="13"/>
      <c r="E75" s="13"/>
      <c r="F75" s="12">
        <v>92</v>
      </c>
      <c r="G75" s="13"/>
      <c r="H75" s="13"/>
      <c r="I75" s="13"/>
      <c r="J75" s="13"/>
      <c r="K75" s="13"/>
      <c r="L75" s="13"/>
      <c r="M75" s="13"/>
      <c r="N75" s="13"/>
      <c r="O75" s="13"/>
    </row>
    <row r="76" ht="20.05" customHeight="1">
      <c r="A76" t="s" s="9">
        <v>449</v>
      </c>
      <c r="B76" s="17"/>
      <c r="C76" s="13"/>
      <c r="D76" s="13"/>
      <c r="E76" s="13"/>
      <c r="F76" s="13"/>
      <c r="G76" s="13"/>
      <c r="H76" s="13"/>
      <c r="I76" s="13" cm="1">
        <f t="array" ref="I76">AVERAGE(I71:I75)</f>
      </c>
      <c r="J76" s="13" cm="1">
        <f t="array" ref="J76">AVERAGE(J71:J75)</f>
      </c>
      <c r="K76" s="13" cm="1">
        <f t="array" ref="K76">AVERAGE(K71:K75)</f>
      </c>
      <c r="L76" s="13" cm="1">
        <f t="array" ref="L76">AVERAGE(L71:L75)</f>
      </c>
      <c r="M76" s="13" cm="1">
        <f t="array" ref="M76">AVERAGE(M71:M75)</f>
      </c>
      <c r="N76" s="13"/>
      <c r="O76" s="13"/>
    </row>
    <row r="77" ht="20.05" customHeight="1">
      <c r="A77" t="s" s="9">
        <v>450</v>
      </c>
      <c r="B77" s="17"/>
      <c r="C77" s="13"/>
      <c r="D77" s="13"/>
      <c r="E77" s="13"/>
      <c r="F77" s="13"/>
      <c r="G77" s="13"/>
      <c r="H77" s="13"/>
      <c r="I77" s="13" cm="1">
        <f t="array" ref="I77">STDEV(I71:I75)</f>
      </c>
      <c r="J77" s="13" cm="1">
        <f t="array" ref="J77">STDEV(J71:J75)</f>
      </c>
      <c r="K77" s="13" cm="1">
        <f t="array" ref="K77">STDEV(K71:K75)</f>
      </c>
      <c r="L77" s="13" cm="1">
        <f t="array" ref="L77">STDEV(L71:L75)</f>
      </c>
      <c r="M77" s="13" cm="1">
        <f t="array" ref="M77">STDEV(M71:M75)</f>
      </c>
      <c r="N77" s="13"/>
      <c r="O77" s="13"/>
    </row>
    <row r="78" ht="20.05" customHeight="1">
      <c r="A78" s="16"/>
      <c r="B78" s="17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</row>
    <row r="79" ht="20.05" customHeight="1">
      <c r="A79" s="16"/>
      <c r="B79" s="17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</row>
    <row r="80" ht="32.05" customHeight="1">
      <c r="A80" t="s" s="9">
        <v>455</v>
      </c>
      <c r="B80" s="17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</row>
    <row r="81" ht="20.05" customHeight="1">
      <c r="A81" t="s" s="9">
        <v>454</v>
      </c>
      <c r="B81" s="17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</row>
    <row r="82" ht="20.05" customHeight="1">
      <c r="A82" t="s" s="9">
        <v>373</v>
      </c>
      <c r="B82" s="17"/>
      <c r="C82" s="13"/>
      <c r="D82" s="13"/>
      <c r="E82" s="13"/>
      <c r="F82" s="12">
        <v>192</v>
      </c>
      <c r="G82" s="13"/>
      <c r="H82" s="12">
        <v>0.5859</v>
      </c>
      <c r="I82" s="12">
        <v>0.7778</v>
      </c>
      <c r="J82" s="12">
        <v>0.8735000000000001</v>
      </c>
      <c r="K82" s="12">
        <v>0.9338</v>
      </c>
      <c r="L82" s="12">
        <v>0.4065</v>
      </c>
      <c r="M82" s="12">
        <v>0.6398</v>
      </c>
      <c r="N82" s="13"/>
      <c r="O82" s="13"/>
    </row>
    <row r="83" ht="20.05" customHeight="1">
      <c r="A83" t="s" s="9">
        <v>375</v>
      </c>
      <c r="B83" s="17"/>
      <c r="C83" s="13"/>
      <c r="D83" s="13"/>
      <c r="E83" s="13"/>
      <c r="F83" s="12">
        <v>192</v>
      </c>
      <c r="G83" s="13"/>
      <c r="H83" s="12">
        <v>0.5895</v>
      </c>
      <c r="I83" s="12">
        <v>0.7805</v>
      </c>
      <c r="J83" s="12">
        <v>0.873</v>
      </c>
      <c r="K83" s="12">
        <v>0.9335</v>
      </c>
      <c r="L83" s="12">
        <v>0.4024</v>
      </c>
      <c r="M83" s="12">
        <v>0.6367</v>
      </c>
      <c r="N83" s="13"/>
      <c r="O83" s="13"/>
    </row>
    <row r="84" ht="20.05" customHeight="1">
      <c r="A84" t="s" s="9">
        <v>377</v>
      </c>
      <c r="B84" s="17"/>
      <c r="C84" s="13"/>
      <c r="D84" s="13"/>
      <c r="E84" s="13"/>
      <c r="F84" s="12">
        <v>192</v>
      </c>
      <c r="G84" s="13"/>
      <c r="H84" s="12">
        <v>0.5877</v>
      </c>
      <c r="I84" s="12">
        <v>0.7793</v>
      </c>
      <c r="J84" s="12">
        <v>0.8735000000000001</v>
      </c>
      <c r="K84" s="12">
        <v>0.9337</v>
      </c>
      <c r="L84" s="12">
        <v>0.4049</v>
      </c>
      <c r="M84" s="12">
        <v>0.6387</v>
      </c>
      <c r="N84" s="13"/>
      <c r="O84" s="13"/>
    </row>
    <row r="85" ht="20.05" customHeight="1">
      <c r="A85" t="s" s="9">
        <v>379</v>
      </c>
      <c r="B85" s="17"/>
      <c r="C85" s="13"/>
      <c r="D85" s="13"/>
      <c r="E85" s="13"/>
      <c r="F85" s="12">
        <v>191</v>
      </c>
      <c r="G85" s="13"/>
      <c r="H85" s="12">
        <v>0.5945</v>
      </c>
      <c r="I85" s="12">
        <v>0.7859</v>
      </c>
      <c r="J85" s="12">
        <v>0.8724</v>
      </c>
      <c r="K85" s="12">
        <v>0.9331</v>
      </c>
      <c r="L85" s="12">
        <v>0.4044</v>
      </c>
      <c r="M85" s="12">
        <v>0.6381</v>
      </c>
      <c r="N85" s="13"/>
      <c r="O85" s="13"/>
    </row>
    <row r="86" ht="20.05" customHeight="1">
      <c r="A86" t="s" s="9">
        <v>381</v>
      </c>
      <c r="B86" s="17"/>
      <c r="C86" s="13"/>
      <c r="D86" s="13"/>
      <c r="E86" s="13"/>
      <c r="F86" s="12">
        <v>192</v>
      </c>
      <c r="G86" s="13"/>
      <c r="H86" s="12">
        <v>0.5903</v>
      </c>
      <c r="I86" s="12">
        <v>0.7821</v>
      </c>
      <c r="J86" s="12">
        <v>0.8728</v>
      </c>
      <c r="K86" s="12">
        <v>0.9334</v>
      </c>
      <c r="L86" s="12">
        <v>0.4052</v>
      </c>
      <c r="M86" s="12">
        <v>0.6394</v>
      </c>
      <c r="N86" s="13"/>
      <c r="O86" s="13"/>
    </row>
    <row r="87" ht="20.05" customHeight="1">
      <c r="A87" t="s" s="9">
        <v>449</v>
      </c>
      <c r="B87" s="17"/>
      <c r="C87" s="13"/>
      <c r="D87" s="13"/>
      <c r="E87" s="13"/>
      <c r="F87" s="13"/>
      <c r="G87" s="13"/>
      <c r="H87" s="13"/>
      <c r="I87" s="12" cm="1">
        <f t="array" ref="I87">AVERAGE(I82:I86)</f>
        <v>0.78112</v>
      </c>
      <c r="J87" s="12" cm="1">
        <f t="array" ref="J87">AVERAGE(J82:J86)</f>
        <v>0.87304</v>
      </c>
      <c r="K87" s="12" cm="1">
        <f t="array" ref="K87">AVERAGE(K82:K86)</f>
        <v>0.9335</v>
      </c>
      <c r="L87" s="12" cm="1">
        <f t="array" ref="L87">AVERAGE(L82:L86)</f>
        <v>0.40468</v>
      </c>
      <c r="M87" s="12" cm="1">
        <f t="array" ref="M87">AVERAGE(M82:M86)</f>
        <v>0.63854</v>
      </c>
      <c r="N87" s="13"/>
      <c r="O87" s="13"/>
    </row>
    <row r="88" ht="20.05" customHeight="1">
      <c r="A88" t="s" s="9">
        <v>450</v>
      </c>
      <c r="B88" s="17"/>
      <c r="C88" s="13"/>
      <c r="D88" s="13"/>
      <c r="E88" s="13"/>
      <c r="F88" s="13"/>
      <c r="G88" s="13"/>
      <c r="H88" s="13"/>
      <c r="I88" s="12" cm="1">
        <f t="array" ref="I88">STDEV(I82:I86)</f>
        <v>0.00310354635860333</v>
      </c>
      <c r="J88" s="12" cm="1">
        <f t="array" ref="J88">STDEV(J82:J86)</f>
        <v>0.000472228758124704</v>
      </c>
      <c r="K88" s="12" cm="1">
        <f t="array" ref="K88">STDEV(K82:K86)</f>
        <v>0.000273861278752583</v>
      </c>
      <c r="L88" s="12" cm="1">
        <f t="array" ref="L88">STDEV(L82:L86)</f>
        <v>0.00149231363995643</v>
      </c>
      <c r="M88" s="12" cm="1">
        <f t="array" ref="M88">STDEV(M82:M86)</f>
        <v>0.00121778487426967</v>
      </c>
      <c r="N88" s="13"/>
      <c r="O88" s="13"/>
    </row>
    <row r="89" ht="32.05" customHeight="1">
      <c r="A89" t="s" s="9">
        <v>456</v>
      </c>
      <c r="B89" s="17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</row>
    <row r="90" ht="20.05" customHeight="1">
      <c r="A90" t="s" s="9">
        <v>373</v>
      </c>
      <c r="B90" s="17"/>
      <c r="C90" s="13"/>
      <c r="D90" s="13"/>
      <c r="E90" s="13"/>
      <c r="F90" s="12">
        <v>192</v>
      </c>
      <c r="G90" s="13"/>
      <c r="H90" s="12">
        <v>0.5874</v>
      </c>
      <c r="I90" s="12">
        <v>0.7792</v>
      </c>
      <c r="J90" s="12">
        <v>0.8733</v>
      </c>
      <c r="K90" s="12">
        <v>0.9336</v>
      </c>
      <c r="L90" s="12">
        <v>0.4052</v>
      </c>
      <c r="M90" s="12">
        <v>0.6393</v>
      </c>
      <c r="N90" s="13"/>
      <c r="O90" s="13"/>
    </row>
    <row r="91" ht="20.05" customHeight="1">
      <c r="A91" t="s" s="9">
        <v>375</v>
      </c>
      <c r="B91" s="17"/>
      <c r="C91" s="13"/>
      <c r="D91" s="13"/>
      <c r="E91" s="13"/>
      <c r="F91" s="12">
        <v>192</v>
      </c>
      <c r="G91" s="13"/>
      <c r="H91" s="12">
        <v>0.5841</v>
      </c>
      <c r="I91" s="12">
        <v>0.7762</v>
      </c>
      <c r="J91" s="12">
        <v>0.8738</v>
      </c>
      <c r="K91" s="12">
        <v>0.9339</v>
      </c>
      <c r="L91" s="12">
        <v>0.4067</v>
      </c>
      <c r="M91" s="12">
        <v>0.6403</v>
      </c>
      <c r="N91" s="13"/>
      <c r="O91" s="13"/>
    </row>
    <row r="92" ht="20.05" customHeight="1">
      <c r="A92" t="s" s="9">
        <v>377</v>
      </c>
      <c r="B92" s="17"/>
      <c r="C92" s="13"/>
      <c r="D92" s="13"/>
      <c r="E92" s="13"/>
      <c r="F92" s="12">
        <v>192</v>
      </c>
      <c r="G92" s="13"/>
      <c r="H92" s="12">
        <v>0.5913</v>
      </c>
      <c r="I92" s="12">
        <v>0.7826</v>
      </c>
      <c r="J92" s="12">
        <v>0.873</v>
      </c>
      <c r="K92" s="12">
        <v>0.9334</v>
      </c>
      <c r="L92" s="12">
        <v>0.403</v>
      </c>
      <c r="M92" s="12">
        <v>0.6377</v>
      </c>
      <c r="N92" s="13"/>
      <c r="O92" s="13"/>
    </row>
    <row r="93" ht="20.05" customHeight="1">
      <c r="A93" t="s" s="9">
        <v>379</v>
      </c>
      <c r="B93" s="17"/>
      <c r="C93" s="13"/>
      <c r="D93" s="13"/>
      <c r="E93" s="13"/>
      <c r="F93" s="12">
        <v>192</v>
      </c>
      <c r="G93" s="13"/>
      <c r="H93" s="12">
        <v>0.5924</v>
      </c>
      <c r="I93" s="12">
        <v>0.7844</v>
      </c>
      <c r="J93" s="12">
        <v>0.8727</v>
      </c>
      <c r="K93" s="12">
        <v>0.9332</v>
      </c>
      <c r="L93" s="12">
        <v>0.4058</v>
      </c>
      <c r="M93" s="12">
        <v>0.6398</v>
      </c>
      <c r="N93" s="13"/>
      <c r="O93" s="13"/>
    </row>
    <row r="94" ht="20.05" customHeight="1">
      <c r="A94" t="s" s="9">
        <v>381</v>
      </c>
      <c r="B94" s="17"/>
      <c r="C94" s="13"/>
      <c r="D94" s="13"/>
      <c r="E94" s="13"/>
      <c r="F94" s="12">
        <v>192</v>
      </c>
      <c r="G94" s="13"/>
      <c r="H94" s="12">
        <v>0.5883</v>
      </c>
      <c r="I94" s="12">
        <v>0.7806999999999999</v>
      </c>
      <c r="J94" s="12">
        <v>0.8731</v>
      </c>
      <c r="K94" s="12">
        <v>0.9335</v>
      </c>
      <c r="L94" s="12">
        <v>0.4078</v>
      </c>
      <c r="M94" s="12">
        <v>0.6414</v>
      </c>
      <c r="N94" s="13"/>
      <c r="O94" s="13"/>
    </row>
    <row r="95" ht="20.05" customHeight="1">
      <c r="A95" t="s" s="9">
        <v>449</v>
      </c>
      <c r="B95" s="17"/>
      <c r="C95" s="13"/>
      <c r="D95" s="13"/>
      <c r="E95" s="13"/>
      <c r="F95" s="13"/>
      <c r="G95" s="13"/>
      <c r="H95" s="13"/>
      <c r="I95" s="12" cm="1">
        <f t="array" ref="I95">AVERAGE(I90:I94)</f>
        <v>0.78062</v>
      </c>
      <c r="J95" s="12" cm="1">
        <f t="array" ref="J95">AVERAGE(J90:J94)</f>
        <v>0.87318</v>
      </c>
      <c r="K95" s="12" cm="1">
        <f t="array" ref="K95">AVERAGE(K90:K94)</f>
        <v>0.93352</v>
      </c>
      <c r="L95" s="12" cm="1">
        <f t="array" ref="L95">AVERAGE(L90:L94)</f>
        <v>0.4057</v>
      </c>
      <c r="M95" s="12" cm="1">
        <f t="array" ref="M95">AVERAGE(M90:M94)</f>
        <v>0.6397</v>
      </c>
      <c r="N95" s="13"/>
      <c r="O95" s="13"/>
    </row>
    <row r="96" ht="20.05" customHeight="1">
      <c r="A96" t="s" s="9">
        <v>450</v>
      </c>
      <c r="B96" s="17"/>
      <c r="C96" s="13"/>
      <c r="D96" s="13"/>
      <c r="E96" s="13"/>
      <c r="F96" s="13"/>
      <c r="G96" s="13"/>
      <c r="H96" s="13"/>
      <c r="I96" s="12" cm="1">
        <f t="array" ref="I96">STDEV(I90:I94)</f>
        <v>0.00315309371887358</v>
      </c>
      <c r="J96" s="12" cm="1">
        <f t="array" ref="J96">STDEV(J90:J94)</f>
        <v>0.000408656334834051</v>
      </c>
      <c r="K96" s="12" cm="1">
        <f t="array" ref="K96">STDEV(K90:K94)</f>
        <v>0.000258843582110896</v>
      </c>
      <c r="L96" s="12" cm="1">
        <f t="array" ref="L96">STDEV(L90:L94)</f>
        <v>0.0018</v>
      </c>
      <c r="M96" s="12" cm="1">
        <f t="array" ref="M96">STDEV(M90:M94)</f>
        <v>0.00136198384718762</v>
      </c>
      <c r="N96" s="13"/>
      <c r="O96" s="13"/>
    </row>
    <row r="97" ht="20.05" customHeight="1">
      <c r="A97" s="16"/>
      <c r="B97" s="17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</row>
    <row r="98" ht="20.05" customHeight="1">
      <c r="A98" s="16"/>
      <c r="B98" s="17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</row>
    <row r="99" ht="20.05" customHeight="1">
      <c r="A99" s="16"/>
      <c r="B99" s="17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</row>
    <row r="100" ht="20.05" customHeight="1">
      <c r="A100" s="16"/>
      <c r="B100" s="17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</row>
    <row r="101" ht="20.05" customHeight="1">
      <c r="A101" s="16"/>
      <c r="B101" s="17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</row>
    <row r="102" ht="20.05" customHeight="1">
      <c r="A102" s="16"/>
      <c r="B102" s="17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</row>
    <row r="103" ht="20.05" customHeight="1">
      <c r="A103" s="16"/>
      <c r="B103" s="17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</row>
    <row r="104" ht="20.05" customHeight="1">
      <c r="A104" s="16"/>
      <c r="B104" s="17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</row>
    <row r="105" ht="20.05" customHeight="1">
      <c r="A105" s="16"/>
      <c r="B105" s="17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</row>
    <row r="106" ht="20.05" customHeight="1">
      <c r="A106" s="16"/>
      <c r="B106" s="17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</row>
    <row r="107" ht="20.05" customHeight="1">
      <c r="A107" s="16"/>
      <c r="B107" s="17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</row>
    <row r="108" ht="20.05" customHeight="1">
      <c r="A108" s="16"/>
      <c r="B108" s="17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</row>
    <row r="109" ht="20.05" customHeight="1">
      <c r="A109" s="16"/>
      <c r="B109" s="17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</row>
    <row r="110" ht="20.05" customHeight="1">
      <c r="A110" s="16"/>
      <c r="B110" s="17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</row>
    <row r="111" ht="20.05" customHeight="1">
      <c r="A111" s="16"/>
      <c r="B111" s="17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</row>
    <row r="112" ht="20.05" customHeight="1">
      <c r="A112" s="16"/>
      <c r="B112" s="17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</row>
    <row r="113" ht="20.05" customHeight="1">
      <c r="A113" s="16"/>
      <c r="B113" s="17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</row>
    <row r="114" ht="20.05" customHeight="1">
      <c r="A114" s="16"/>
      <c r="B114" s="17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</row>
    <row r="115" ht="20.05" customHeight="1">
      <c r="A115" s="16"/>
      <c r="B115" s="17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</row>
    <row r="116" ht="20.05" customHeight="1">
      <c r="A116" s="16"/>
      <c r="B116" s="17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</row>
    <row r="117" ht="20.05" customHeight="1">
      <c r="A117" s="16"/>
      <c r="B117" s="17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</row>
    <row r="118" ht="20.05" customHeight="1">
      <c r="A118" s="16"/>
      <c r="B118" s="17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</row>
    <row r="119" ht="20.05" customHeight="1">
      <c r="A119" s="16"/>
      <c r="B119" s="17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</row>
    <row r="120" ht="20.05" customHeight="1">
      <c r="A120" s="16"/>
      <c r="B120" s="17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</row>
    <row r="121" ht="20.05" customHeight="1">
      <c r="A121" s="16"/>
      <c r="B121" s="17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</row>
    <row r="122" ht="20.05" customHeight="1">
      <c r="A122" s="16"/>
      <c r="B122" s="17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</row>
    <row r="123" ht="20.05" customHeight="1">
      <c r="A123" s="16"/>
      <c r="B123" s="17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</row>
    <row r="124" ht="20.05" customHeight="1">
      <c r="A124" s="16"/>
      <c r="B124" s="17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</row>
    <row r="125" ht="20.05" customHeight="1">
      <c r="A125" s="16"/>
      <c r="B125" s="17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</row>
    <row r="126" ht="20.05" customHeight="1">
      <c r="A126" s="16"/>
      <c r="B126" s="17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</row>
    <row r="127" ht="20.05" customHeight="1">
      <c r="A127" s="16"/>
      <c r="B127" s="17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</row>
    <row r="128" ht="20.05" customHeight="1">
      <c r="A128" s="16"/>
      <c r="B128" s="17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</row>
    <row r="129" ht="20.05" customHeight="1">
      <c r="A129" s="16"/>
      <c r="B129" s="17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</row>
    <row r="130" ht="20.05" customHeight="1">
      <c r="A130" s="16"/>
      <c r="B130" s="17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</row>
    <row r="131" ht="20.05" customHeight="1">
      <c r="A131" s="16"/>
      <c r="B131" s="17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</row>
    <row r="132" ht="20.05" customHeight="1">
      <c r="A132" s="16"/>
      <c r="B132" s="17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</row>
    <row r="133" ht="20.05" customHeight="1">
      <c r="A133" s="16"/>
      <c r="B133" s="17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</row>
    <row r="134" ht="20.05" customHeight="1">
      <c r="A134" s="16"/>
      <c r="B134" s="17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</row>
    <row r="135" ht="20.05" customHeight="1">
      <c r="A135" s="16"/>
      <c r="B135" s="17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</row>
    <row r="136" ht="20.05" customHeight="1">
      <c r="A136" s="16"/>
      <c r="B136" s="17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</row>
    <row r="137" ht="20.05" customHeight="1">
      <c r="A137" s="16"/>
      <c r="B137" s="17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</row>
    <row r="138" ht="20.05" customHeight="1">
      <c r="A138" s="16"/>
      <c r="B138" s="17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</row>
    <row r="139" ht="20.05" customHeight="1">
      <c r="A139" s="16"/>
      <c r="B139" s="17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</row>
    <row r="140" ht="20.05" customHeight="1">
      <c r="A140" s="16"/>
      <c r="B140" s="17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</row>
    <row r="141" ht="20.05" customHeight="1">
      <c r="A141" s="16"/>
      <c r="B141" s="17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</row>
    <row r="142" ht="20.05" customHeight="1">
      <c r="A142" s="16"/>
      <c r="B142" s="17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</row>
    <row r="143" ht="20.05" customHeight="1">
      <c r="A143" s="16"/>
      <c r="B143" s="17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</row>
    <row r="144" ht="20.05" customHeight="1">
      <c r="A144" s="16"/>
      <c r="B144" s="17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</row>
    <row r="145" ht="20.05" customHeight="1">
      <c r="A145" s="16"/>
      <c r="B145" s="17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</row>
    <row r="146" ht="20.05" customHeight="1">
      <c r="A146" s="16"/>
      <c r="B146" s="17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</row>
    <row r="147" ht="20.05" customHeight="1">
      <c r="A147" s="16"/>
      <c r="B147" s="17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</row>
    <row r="148" ht="20.05" customHeight="1">
      <c r="A148" s="16"/>
      <c r="B148" s="17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</row>
    <row r="149" ht="20.05" customHeight="1">
      <c r="A149" s="16"/>
      <c r="B149" s="17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</row>
    <row r="150" ht="20.05" customHeight="1">
      <c r="A150" s="16"/>
      <c r="B150" s="17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</row>
    <row r="151" ht="20.05" customHeight="1">
      <c r="A151" s="16"/>
      <c r="B151" s="17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</row>
    <row r="152" ht="20.05" customHeight="1">
      <c r="A152" s="16"/>
      <c r="B152" s="17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</row>
    <row r="153" ht="20.05" customHeight="1">
      <c r="A153" s="16"/>
      <c r="B153" s="17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</row>
    <row r="154" ht="20.05" customHeight="1">
      <c r="A154" s="16"/>
      <c r="B154" s="17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</row>
    <row r="155" ht="20.05" customHeight="1">
      <c r="A155" s="16"/>
      <c r="B155" s="17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</row>
    <row r="156" ht="20.05" customHeight="1">
      <c r="A156" s="16"/>
      <c r="B156" s="17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</row>
    <row r="157" ht="20.05" customHeight="1">
      <c r="A157" s="16"/>
      <c r="B157" s="17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</row>
    <row r="158" ht="20.05" customHeight="1">
      <c r="A158" s="16"/>
      <c r="B158" s="17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</row>
    <row r="159" ht="20.05" customHeight="1">
      <c r="A159" s="16"/>
      <c r="B159" s="17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</row>
    <row r="160" ht="20.05" customHeight="1">
      <c r="A160" s="16"/>
      <c r="B160" s="17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</row>
    <row r="161" ht="20.05" customHeight="1">
      <c r="A161" s="16"/>
      <c r="B161" s="17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</row>
    <row r="162" ht="20.05" customHeight="1">
      <c r="A162" s="16"/>
      <c r="B162" s="17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</row>
    <row r="163" ht="20.05" customHeight="1">
      <c r="A163" s="16"/>
      <c r="B163" s="17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</row>
    <row r="164" ht="20.05" customHeight="1">
      <c r="A164" s="16"/>
      <c r="B164" s="17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</row>
    <row r="165" ht="20.05" customHeight="1">
      <c r="A165" s="16"/>
      <c r="B165" s="17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</row>
    <row r="166" ht="20.05" customHeight="1">
      <c r="A166" s="16"/>
      <c r="B166" s="17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</row>
    <row r="167" ht="20.05" customHeight="1">
      <c r="A167" s="16"/>
      <c r="B167" s="17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</row>
    <row r="168" ht="20.05" customHeight="1">
      <c r="A168" s="16"/>
      <c r="B168" s="17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</row>
    <row r="169" ht="20.05" customHeight="1">
      <c r="A169" s="16"/>
      <c r="B169" s="17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</row>
    <row r="170" ht="20.05" customHeight="1">
      <c r="A170" s="16"/>
      <c r="B170" s="17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</row>
    <row r="171" ht="20.05" customHeight="1">
      <c r="A171" s="16"/>
      <c r="B171" s="17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</row>
    <row r="172" ht="20.05" customHeight="1">
      <c r="A172" s="16"/>
      <c r="B172" s="17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</row>
    <row r="173" ht="20.05" customHeight="1">
      <c r="A173" s="16"/>
      <c r="B173" s="17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</row>
    <row r="174" ht="20.05" customHeight="1">
      <c r="A174" s="16"/>
      <c r="B174" s="17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</row>
    <row r="175" ht="20.05" customHeight="1">
      <c r="A175" s="16"/>
      <c r="B175" s="17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</row>
    <row r="176" ht="20.05" customHeight="1">
      <c r="A176" s="16"/>
      <c r="B176" s="17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</row>
    <row r="177" ht="20.05" customHeight="1">
      <c r="A177" s="16"/>
      <c r="B177" s="17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</row>
    <row r="178" ht="20.05" customHeight="1">
      <c r="A178" s="16"/>
      <c r="B178" s="17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</row>
    <row r="179" ht="20.05" customHeight="1">
      <c r="A179" s="16"/>
      <c r="B179" s="17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</row>
    <row r="180" ht="20.05" customHeight="1">
      <c r="A180" s="16"/>
      <c r="B180" s="17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</row>
    <row r="181" ht="20.05" customHeight="1">
      <c r="A181" s="16"/>
      <c r="B181" s="17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</row>
    <row r="182" ht="20.05" customHeight="1">
      <c r="A182" s="16"/>
      <c r="B182" s="17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</row>
    <row r="183" ht="20.05" customHeight="1">
      <c r="A183" s="16"/>
      <c r="B183" s="17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</row>
    <row r="184" ht="20.05" customHeight="1">
      <c r="A184" s="16"/>
      <c r="B184" s="17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</row>
    <row r="185" ht="20.05" customHeight="1">
      <c r="A185" s="16"/>
      <c r="B185" s="17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</row>
    <row r="186" ht="20.05" customHeight="1">
      <c r="A186" s="16"/>
      <c r="B186" s="17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</row>
    <row r="187" ht="20.05" customHeight="1">
      <c r="A187" s="16"/>
      <c r="B187" s="17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</row>
    <row r="188" ht="20.05" customHeight="1">
      <c r="A188" s="16"/>
      <c r="B188" s="17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</row>
    <row r="189" ht="20.05" customHeight="1">
      <c r="A189" s="16"/>
      <c r="B189" s="17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</row>
    <row r="190" ht="20.05" customHeight="1">
      <c r="A190" s="16"/>
      <c r="B190" s="17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</row>
    <row r="191" ht="20.05" customHeight="1">
      <c r="A191" s="16"/>
      <c r="B191" s="17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</row>
    <row r="192" ht="20.05" customHeight="1">
      <c r="A192" s="16"/>
      <c r="B192" s="17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</row>
    <row r="193" ht="20.05" customHeight="1">
      <c r="A193" s="16"/>
      <c r="B193" s="17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</row>
    <row r="194" ht="20.05" customHeight="1">
      <c r="A194" s="16"/>
      <c r="B194" s="17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</row>
    <row r="195" ht="20.05" customHeight="1">
      <c r="A195" s="16"/>
      <c r="B195" s="17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</row>
    <row r="196" ht="20.05" customHeight="1">
      <c r="A196" s="16"/>
      <c r="B196" s="17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</row>
    <row r="197" ht="20.05" customHeight="1">
      <c r="A197" s="16"/>
      <c r="B197" s="17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</row>
    <row r="198" ht="20.05" customHeight="1">
      <c r="A198" s="16"/>
      <c r="B198" s="17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</row>
    <row r="199" ht="20.05" customHeight="1">
      <c r="A199" s="16"/>
      <c r="B199" s="17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</row>
    <row r="200" ht="20.05" customHeight="1">
      <c r="A200" s="16"/>
      <c r="B200" s="17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</row>
    <row r="201" ht="20.05" customHeight="1">
      <c r="A201" s="16"/>
      <c r="B201" s="17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</row>
    <row r="202" ht="20.05" customHeight="1">
      <c r="A202" s="16"/>
      <c r="B202" s="17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</row>
    <row r="203" ht="20.05" customHeight="1">
      <c r="A203" s="16"/>
      <c r="B203" s="17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</row>
    <row r="204" ht="20.05" customHeight="1">
      <c r="A204" s="16"/>
      <c r="B204" s="17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</row>
    <row r="205" ht="20.05" customHeight="1">
      <c r="A205" s="16"/>
      <c r="B205" s="17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</row>
    <row r="206" ht="20.05" customHeight="1">
      <c r="A206" s="16"/>
      <c r="B206" s="17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</row>
    <row r="207" ht="20.05" customHeight="1">
      <c r="A207" s="16"/>
      <c r="B207" s="17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</row>
    <row r="208" ht="20.05" customHeight="1">
      <c r="A208" s="16"/>
      <c r="B208" s="17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</row>
    <row r="209" ht="20.05" customHeight="1">
      <c r="A209" s="16"/>
      <c r="B209" s="17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</row>
    <row r="210" ht="20.05" customHeight="1">
      <c r="A210" s="16"/>
      <c r="B210" s="17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</row>
    <row r="211" ht="20.05" customHeight="1">
      <c r="A211" s="16"/>
      <c r="B211" s="17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</row>
    <row r="212" ht="20.05" customHeight="1">
      <c r="A212" s="16"/>
      <c r="B212" s="17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</row>
    <row r="213" ht="20.05" customHeight="1">
      <c r="A213" s="16"/>
      <c r="B213" s="17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</row>
    <row r="214" ht="20.05" customHeight="1">
      <c r="A214" s="16"/>
      <c r="B214" s="17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</row>
    <row r="215" ht="20.05" customHeight="1">
      <c r="A215" s="16"/>
      <c r="B215" s="17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</row>
    <row r="216" ht="20.05" customHeight="1">
      <c r="A216" s="16"/>
      <c r="B216" s="17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</row>
    <row r="217" ht="20.05" customHeight="1">
      <c r="A217" s="16"/>
      <c r="B217" s="17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</row>
    <row r="218" ht="20.05" customHeight="1">
      <c r="A218" s="16"/>
      <c r="B218" s="17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</row>
    <row r="219" ht="20.05" customHeight="1">
      <c r="A219" s="16"/>
      <c r="B219" s="17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</row>
    <row r="220" ht="20.05" customHeight="1">
      <c r="A220" s="16"/>
      <c r="B220" s="17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</row>
    <row r="221" ht="20.05" customHeight="1">
      <c r="A221" s="16"/>
      <c r="B221" s="17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</row>
    <row r="222" ht="20.05" customHeight="1">
      <c r="A222" s="16"/>
      <c r="B222" s="17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</row>
    <row r="223" ht="20.05" customHeight="1">
      <c r="A223" s="16"/>
      <c r="B223" s="17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</row>
    <row r="224" ht="20.05" customHeight="1">
      <c r="A224" s="16"/>
      <c r="B224" s="17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</row>
    <row r="225" ht="20.05" customHeight="1">
      <c r="A225" s="16"/>
      <c r="B225" s="17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</row>
    <row r="226" ht="20.05" customHeight="1">
      <c r="A226" s="16"/>
      <c r="B226" s="17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</row>
    <row r="227" ht="20.05" customHeight="1">
      <c r="A227" s="16"/>
      <c r="B227" s="17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</row>
    <row r="228" ht="20.05" customHeight="1">
      <c r="A228" s="16"/>
      <c r="B228" s="17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</row>
    <row r="229" ht="20.05" customHeight="1">
      <c r="A229" s="16"/>
      <c r="B229" s="17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</row>
    <row r="230" ht="20.05" customHeight="1">
      <c r="A230" s="16"/>
      <c r="B230" s="17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</row>
    <row r="231" ht="20.05" customHeight="1">
      <c r="A231" s="16"/>
      <c r="B231" s="17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</row>
    <row r="232" ht="20.05" customHeight="1">
      <c r="A232" s="16"/>
      <c r="B232" s="17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</row>
    <row r="233" ht="20.05" customHeight="1">
      <c r="A233" s="16"/>
      <c r="B233" s="17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</row>
    <row r="234" ht="20.05" customHeight="1">
      <c r="A234" s="16"/>
      <c r="B234" s="17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</row>
    <row r="235" ht="20.05" customHeight="1">
      <c r="A235" s="16"/>
      <c r="B235" s="17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</row>
    <row r="236" ht="20.05" customHeight="1">
      <c r="A236" s="16"/>
      <c r="B236" s="17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</row>
    <row r="237" ht="20.05" customHeight="1">
      <c r="A237" s="16"/>
      <c r="B237" s="17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</row>
    <row r="238" ht="20.05" customHeight="1">
      <c r="A238" s="16"/>
      <c r="B238" s="17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</row>
    <row r="239" ht="20.05" customHeight="1">
      <c r="A239" s="16"/>
      <c r="B239" s="17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</row>
    <row r="240" ht="20.05" customHeight="1">
      <c r="A240" s="16"/>
      <c r="B240" s="17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</row>
    <row r="241" ht="20.05" customHeight="1">
      <c r="A241" s="16"/>
      <c r="B241" s="17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</row>
    <row r="242" ht="20.05" customHeight="1">
      <c r="A242" s="16"/>
      <c r="B242" s="17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</row>
    <row r="243" ht="20.05" customHeight="1">
      <c r="A243" s="16"/>
      <c r="B243" s="17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</row>
    <row r="244" ht="20.05" customHeight="1">
      <c r="A244" s="16"/>
      <c r="B244" s="17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</row>
    <row r="245" ht="20.05" customHeight="1">
      <c r="A245" s="16"/>
      <c r="B245" s="17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</row>
    <row r="246" ht="20.05" customHeight="1">
      <c r="A246" s="16"/>
      <c r="B246" s="17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</row>
    <row r="247" ht="20.05" customHeight="1">
      <c r="A247" s="16"/>
      <c r="B247" s="17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</row>
    <row r="248" ht="20.05" customHeight="1">
      <c r="A248" s="16"/>
      <c r="B248" s="17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</row>
    <row r="249" ht="20.05" customHeight="1">
      <c r="A249" s="16"/>
      <c r="B249" s="17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</row>
    <row r="250" ht="20.05" customHeight="1">
      <c r="A250" s="16"/>
      <c r="B250" s="17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</row>
  </sheetData>
  <mergeCells count="1">
    <mergeCell ref="A1:O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.xml><?xml version="1.0" encoding="utf-8"?>
<worksheet xmlns:r="http://schemas.openxmlformats.org/officeDocument/2006/relationships" xmlns="http://schemas.openxmlformats.org/spreadsheetml/2006/main">
  <sheetPr>
    <pageSetUpPr fitToPage="1"/>
  </sheetPr>
  <dimension ref="A2:K31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1" width="16.3516" style="37" customWidth="1"/>
    <col min="12" max="16384" width="16.3516" style="37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32.25" customHeight="1">
      <c r="A2" t="s" s="3">
        <v>3</v>
      </c>
      <c r="B2" t="s" s="3">
        <v>458</v>
      </c>
      <c r="C2" t="s" s="3">
        <v>4</v>
      </c>
      <c r="D2" t="s" s="3">
        <v>302</v>
      </c>
      <c r="E2" t="s" s="3">
        <v>231</v>
      </c>
      <c r="F2" t="s" s="3">
        <v>232</v>
      </c>
      <c r="G2" t="s" s="3">
        <v>233</v>
      </c>
      <c r="H2" t="s" s="3">
        <v>234</v>
      </c>
      <c r="I2" t="s" s="3">
        <v>235</v>
      </c>
      <c r="J2" t="s" s="3">
        <v>8</v>
      </c>
      <c r="K2" t="s" s="3">
        <v>459</v>
      </c>
    </row>
    <row r="3" ht="20.25" customHeight="1">
      <c r="A3" t="s" s="4">
        <v>307</v>
      </c>
      <c r="B3" s="34"/>
      <c r="C3" s="8"/>
      <c r="D3" s="8"/>
      <c r="E3" s="8"/>
      <c r="F3" s="8"/>
      <c r="G3" s="8"/>
      <c r="H3" s="8"/>
      <c r="I3" s="8"/>
      <c r="J3" s="8"/>
      <c r="K3" s="8"/>
    </row>
    <row r="4" ht="20.05" customHeight="1">
      <c r="A4" t="s" s="9">
        <v>409</v>
      </c>
      <c r="B4" t="s" s="10">
        <v>460</v>
      </c>
      <c r="C4" s="13"/>
      <c r="D4" s="12">
        <v>1.85782513937066</v>
      </c>
      <c r="E4" s="12">
        <v>0.718114470450459</v>
      </c>
      <c r="F4" s="12">
        <v>0.846602899903329</v>
      </c>
      <c r="G4" s="12">
        <v>-0.545963928722062</v>
      </c>
      <c r="H4" s="12">
        <v>0.417517883321392</v>
      </c>
      <c r="I4" s="13"/>
      <c r="J4" s="13"/>
      <c r="K4" s="12">
        <v>13952468</v>
      </c>
    </row>
    <row r="5" ht="32.05" customHeight="1">
      <c r="A5" t="s" s="9">
        <v>461</v>
      </c>
      <c r="B5" s="32">
        <v>300</v>
      </c>
      <c r="C5" s="12">
        <v>92</v>
      </c>
      <c r="D5" s="12">
        <v>1.30213953265023</v>
      </c>
      <c r="E5" s="12">
        <v>0.790199212759241</v>
      </c>
      <c r="F5" s="12">
        <v>0.889684559210286</v>
      </c>
      <c r="G5" s="12">
        <v>-0.0411610153177182</v>
      </c>
      <c r="H5" s="12">
        <v>0.499114567045672</v>
      </c>
      <c r="I5" s="13"/>
      <c r="J5" s="13"/>
      <c r="K5" s="13"/>
    </row>
    <row r="6" ht="20.05" customHeight="1">
      <c r="A6" t="s" s="9">
        <v>415</v>
      </c>
      <c r="B6" s="17"/>
      <c r="C6" s="13"/>
      <c r="D6" s="12">
        <v>1.50201279947227</v>
      </c>
      <c r="E6" s="12">
        <v>0.753641466980241</v>
      </c>
      <c r="F6" s="12">
        <v>0.867542415449295</v>
      </c>
      <c r="G6" s="12">
        <v>-0.238243688476007</v>
      </c>
      <c r="H6" s="12">
        <v>0.446432500536998</v>
      </c>
      <c r="I6" s="13"/>
      <c r="J6" s="13"/>
      <c r="K6" s="12">
        <v>13952469</v>
      </c>
    </row>
    <row r="7" ht="20.05" customHeight="1">
      <c r="A7" t="s" s="9">
        <v>462</v>
      </c>
      <c r="B7" s="17"/>
      <c r="C7" s="13"/>
      <c r="D7" s="12">
        <v>1.43750327010301</v>
      </c>
      <c r="E7" s="12">
        <v>0.773103680947362</v>
      </c>
      <c r="F7" s="12">
        <v>0.8794760981160969</v>
      </c>
      <c r="G7" s="12">
        <v>-0.220993173515793</v>
      </c>
      <c r="H7" s="12">
        <v>0.455329530694281</v>
      </c>
      <c r="I7" s="13"/>
      <c r="J7" s="13"/>
      <c r="K7" s="12">
        <v>13952470</v>
      </c>
    </row>
    <row r="8" ht="20.05" customHeight="1">
      <c r="A8" t="s" s="9">
        <v>463</v>
      </c>
      <c r="B8" s="17"/>
      <c r="C8" s="13"/>
      <c r="D8" s="12">
        <v>1.61842167599533</v>
      </c>
      <c r="E8" s="12">
        <v>0.718912994152754</v>
      </c>
      <c r="F8" s="12">
        <v>0.848116820869207</v>
      </c>
      <c r="G8" s="12">
        <v>-0.637099010343667</v>
      </c>
      <c r="H8" s="12">
        <v>0.393458606172488</v>
      </c>
      <c r="I8" s="13"/>
      <c r="J8" s="13"/>
      <c r="K8" s="12">
        <v>13952471</v>
      </c>
    </row>
    <row r="9" ht="20.05" customHeight="1">
      <c r="A9" t="s" s="9">
        <v>464</v>
      </c>
      <c r="B9" s="17"/>
      <c r="C9" s="13"/>
      <c r="D9" s="12">
        <v>1.43534603917817</v>
      </c>
      <c r="E9" s="12">
        <v>0.767636978184116</v>
      </c>
      <c r="F9" s="12">
        <v>0.876412395290277</v>
      </c>
      <c r="G9" s="12">
        <v>-0.212619625395819</v>
      </c>
      <c r="H9" s="12">
        <v>0.463998366278001</v>
      </c>
      <c r="I9" s="13"/>
      <c r="J9" s="13"/>
      <c r="K9" s="12">
        <v>13952472</v>
      </c>
    </row>
    <row r="10" ht="20.05" customHeight="1">
      <c r="A10" t="s" s="9">
        <v>331</v>
      </c>
      <c r="B10" s="32">
        <v>300</v>
      </c>
      <c r="C10" s="13"/>
      <c r="D10" s="12" cm="1">
        <f t="array" ref="D10">AVERAGE(D4,D6:D9)</f>
        <v>1.57022178482389</v>
      </c>
      <c r="E10" s="12" cm="1">
        <f t="array" ref="E10">AVERAGE(E4,E6:E9)</f>
        <v>0.7462819181429859</v>
      </c>
      <c r="F10" s="12" cm="1">
        <f t="array" ref="F10">AVERAGE(F4,F6:F9)</f>
        <v>0.863630125925641</v>
      </c>
      <c r="G10" s="12" cm="1">
        <f t="array" ref="G10">AVERAGE(G4,G6:G9)</f>
        <v>-0.37098388529067</v>
      </c>
      <c r="H10" s="12" cm="1">
        <f t="array" ref="H10">AVERAGE(H4,H6:H9)</f>
        <v>0.435347377400632</v>
      </c>
      <c r="I10" s="13"/>
      <c r="J10" s="13"/>
      <c r="K10" s="13"/>
    </row>
    <row r="11" ht="20.05" customHeight="1">
      <c r="A11" t="s" s="9">
        <v>450</v>
      </c>
      <c r="B11" s="32">
        <v>300</v>
      </c>
      <c r="C11" s="13"/>
      <c r="D11" s="12" cm="1">
        <f t="array" ref="D11">STDEV(D4,D6:D9)</f>
        <v>0.17712781800962</v>
      </c>
      <c r="E11" s="12" cm="1">
        <f t="array" ref="E11">STDEV(E4,E6:E9)</f>
        <v>0.0263252332291509</v>
      </c>
      <c r="F11" s="12" cm="1">
        <f t="array" ref="F11">STDEV(F4,F6:F9)</f>
        <v>0.015494969456864</v>
      </c>
      <c r="G11" s="12" cm="1">
        <f t="array" ref="G11">STDEV(G4,G6:G9)</f>
        <v>0.204102723929886</v>
      </c>
      <c r="H11" s="12" cm="1">
        <f t="array" ref="H11">STDEV(H4,H6:H9)</f>
        <v>0.0292215912596142</v>
      </c>
      <c r="I11" s="13"/>
      <c r="J11" s="13"/>
      <c r="K11" s="13"/>
    </row>
    <row r="12" ht="20.05" customHeight="1">
      <c r="A12" s="16"/>
      <c r="B12" s="17"/>
      <c r="C12" s="13"/>
      <c r="D12" s="13"/>
      <c r="E12" s="13"/>
      <c r="F12" s="13"/>
      <c r="G12" s="13"/>
      <c r="H12" s="13"/>
      <c r="I12" s="13"/>
      <c r="J12" s="13"/>
      <c r="K12" s="13"/>
    </row>
    <row r="13" ht="20.05" customHeight="1">
      <c r="A13" t="s" s="9">
        <v>372</v>
      </c>
      <c r="B13" s="17"/>
      <c r="C13" s="13"/>
      <c r="D13" s="13"/>
      <c r="E13" s="13"/>
      <c r="F13" s="13"/>
      <c r="G13" s="13"/>
      <c r="H13" s="13"/>
      <c r="I13" s="13"/>
      <c r="J13" s="13"/>
      <c r="K13" s="13"/>
    </row>
    <row r="14" ht="20.05" customHeight="1">
      <c r="A14" t="s" s="9">
        <v>413</v>
      </c>
      <c r="B14" s="17"/>
      <c r="C14" s="13"/>
      <c r="D14" s="12">
        <v>0.771974029690918</v>
      </c>
      <c r="E14" s="12">
        <v>0.874317030551733</v>
      </c>
      <c r="F14" s="12">
        <v>0.934268775021477</v>
      </c>
      <c r="G14" s="12">
        <v>0.40355861645219</v>
      </c>
      <c r="H14" s="12">
        <v>0.645978564822557</v>
      </c>
      <c r="I14" s="13"/>
      <c r="J14" s="13"/>
      <c r="K14" s="12">
        <v>13952513</v>
      </c>
    </row>
    <row r="15" ht="20.05" customHeight="1">
      <c r="A15" t="s" s="9">
        <v>419</v>
      </c>
      <c r="B15" s="17"/>
      <c r="C15" s="13"/>
      <c r="D15" s="12">
        <v>0.772006815370326</v>
      </c>
      <c r="E15" s="12">
        <v>0.874256139207755</v>
      </c>
      <c r="F15" s="12">
        <v>0.934274214236667</v>
      </c>
      <c r="G15" s="12">
        <v>0.400394810132967</v>
      </c>
      <c r="H15" s="12">
        <v>0.644955154990366</v>
      </c>
      <c r="I15" s="13"/>
      <c r="J15" s="13"/>
      <c r="K15" s="12">
        <v>13952514</v>
      </c>
    </row>
    <row r="16" ht="20.05" customHeight="1">
      <c r="A16" t="s" s="9">
        <v>465</v>
      </c>
      <c r="B16" s="17"/>
      <c r="C16" s="13"/>
      <c r="D16" s="12">
        <v>0.775160512835678</v>
      </c>
      <c r="E16" s="12">
        <v>0.873947174001542</v>
      </c>
      <c r="F16" s="12">
        <v>0.934203633891175</v>
      </c>
      <c r="G16" s="12">
        <v>0.400598174606874</v>
      </c>
      <c r="H16" s="12">
        <v>0.644041598725006</v>
      </c>
      <c r="I16" s="13"/>
      <c r="J16" s="13"/>
      <c r="K16" s="12">
        <v>13952515</v>
      </c>
    </row>
    <row r="17" ht="20.05" customHeight="1">
      <c r="A17" t="s" s="9">
        <v>466</v>
      </c>
      <c r="B17" s="17"/>
      <c r="C17" s="13"/>
      <c r="D17" s="12">
        <v>0.779294856267694</v>
      </c>
      <c r="E17" s="12">
        <v>0.873159628344066</v>
      </c>
      <c r="F17" s="12">
        <v>0.933638398379</v>
      </c>
      <c r="G17" s="12">
        <v>0.399773449090166</v>
      </c>
      <c r="H17" s="12">
        <v>0.644372957648884</v>
      </c>
      <c r="I17" s="13"/>
      <c r="J17" s="13"/>
      <c r="K17" s="12">
        <v>13952516</v>
      </c>
    </row>
    <row r="18" ht="20.05" customHeight="1">
      <c r="A18" t="s" s="9">
        <v>467</v>
      </c>
      <c r="B18" s="17"/>
      <c r="C18" s="13"/>
      <c r="D18" s="12">
        <v>0.776994238381598</v>
      </c>
      <c r="E18" s="12">
        <v>0.873477236112533</v>
      </c>
      <c r="F18" s="12">
        <v>0.93386382548547</v>
      </c>
      <c r="G18" s="12">
        <v>0.401503127990251</v>
      </c>
      <c r="H18" s="12">
        <v>0.644959033091322</v>
      </c>
      <c r="I18" s="13"/>
      <c r="J18" s="13"/>
      <c r="K18" s="12">
        <v>13952517</v>
      </c>
    </row>
    <row r="19" ht="20.05" customHeight="1">
      <c r="A19" t="s" s="9">
        <v>331</v>
      </c>
      <c r="B19" s="32">
        <v>300</v>
      </c>
      <c r="C19" s="13"/>
      <c r="D19" s="12" cm="1">
        <f t="array" ref="D19">AVERAGE(D14:D18)</f>
        <v>0.775086090509243</v>
      </c>
      <c r="E19" s="12" cm="1">
        <f t="array" ref="E19">AVERAGE(E14:E18)</f>
        <v>0.873831441643526</v>
      </c>
      <c r="F19" s="12" cm="1">
        <f t="array" ref="F19">AVERAGE(F14:F18)</f>
        <v>0.934049769402758</v>
      </c>
      <c r="G19" s="12" cm="1">
        <f t="array" ref="G19">AVERAGE(G14:G18)</f>
        <v>0.40116563565449</v>
      </c>
      <c r="H19" s="12" cm="1">
        <f t="array" ref="H19">AVERAGE(H14:H18)</f>
        <v>0.644861461855627</v>
      </c>
      <c r="I19" s="13"/>
      <c r="J19" s="13"/>
      <c r="K19" s="13"/>
    </row>
    <row r="20" ht="20.05" customHeight="1">
      <c r="A20" t="s" s="9">
        <v>450</v>
      </c>
      <c r="B20" s="32">
        <v>300</v>
      </c>
      <c r="C20" s="13"/>
      <c r="D20" s="12" cm="1">
        <f t="array" ref="D20">STDEV(D14:D18)</f>
        <v>0.0031830462654924</v>
      </c>
      <c r="E20" s="12" cm="1">
        <f t="array" ref="E20">STDEV(E14:E18)</f>
        <v>0.000501585799002778</v>
      </c>
      <c r="F20" s="12" cm="1">
        <f t="array" ref="F20">STDEV(F14:F18)</f>
        <v>0.000285400808013427</v>
      </c>
      <c r="G20" s="12" cm="1">
        <f t="array" ref="G20">STDEV(G14:G18)</f>
        <v>0.00147433252948031</v>
      </c>
      <c r="H20" s="12" cm="1">
        <f t="array" ref="H20">STDEV(H14:H18)</f>
        <v>0.000737738012646318</v>
      </c>
      <c r="I20" s="13"/>
      <c r="J20" s="13"/>
      <c r="K20" s="13"/>
    </row>
    <row r="21" ht="20.05" customHeight="1">
      <c r="A21" s="16"/>
      <c r="B21" s="17"/>
      <c r="C21" s="13"/>
      <c r="D21" s="13"/>
      <c r="E21" s="13"/>
      <c r="F21" s="13"/>
      <c r="G21" s="13"/>
      <c r="H21" s="13"/>
      <c r="I21" s="13"/>
      <c r="J21" s="13"/>
      <c r="K21" s="13"/>
    </row>
    <row r="22" ht="20.05" customHeight="1">
      <c r="A22" t="s" s="9">
        <v>333</v>
      </c>
      <c r="B22" s="17"/>
      <c r="C22" s="13"/>
      <c r="D22" s="13"/>
      <c r="E22" s="13"/>
      <c r="F22" s="13"/>
      <c r="G22" s="13"/>
      <c r="H22" s="13"/>
      <c r="I22" s="13"/>
      <c r="J22" s="13"/>
      <c r="K22" s="13"/>
    </row>
    <row r="23" ht="44.05" customHeight="1">
      <c r="A23" t="s" s="9">
        <v>411</v>
      </c>
      <c r="B23" s="17"/>
      <c r="C23" s="13"/>
      <c r="D23" t="s" s="11">
        <v>468</v>
      </c>
      <c r="E23" s="13"/>
      <c r="F23" s="13"/>
      <c r="G23" s="13"/>
      <c r="H23" s="13"/>
      <c r="I23" s="13"/>
      <c r="J23" t="s" s="11">
        <v>469</v>
      </c>
      <c r="K23" s="12">
        <v>13952488</v>
      </c>
    </row>
    <row r="24" ht="20.05" customHeight="1">
      <c r="A24" t="s" s="9">
        <v>417</v>
      </c>
      <c r="B24" s="17"/>
      <c r="C24" s="13"/>
      <c r="D24" s="12">
        <v>0.8119631285662769</v>
      </c>
      <c r="E24" s="12">
        <v>0.868025858838106</v>
      </c>
      <c r="F24" s="12">
        <v>0.930794430389237</v>
      </c>
      <c r="G24" s="12">
        <v>0.38254007296426</v>
      </c>
      <c r="H24" s="12">
        <v>0.630488168891907</v>
      </c>
      <c r="I24" s="13"/>
      <c r="J24" s="13"/>
      <c r="K24" s="12">
        <v>13952489</v>
      </c>
    </row>
    <row r="25" ht="20.05" customHeight="1">
      <c r="A25" t="s" s="9">
        <v>470</v>
      </c>
      <c r="B25" s="17"/>
      <c r="C25" s="13"/>
      <c r="D25" s="12">
        <v>0.781555870113762</v>
      </c>
      <c r="E25" s="12">
        <v>0.873561135614582</v>
      </c>
      <c r="F25" s="12">
        <v>0.933818980919964</v>
      </c>
      <c r="G25" s="12">
        <v>0.383351869906759</v>
      </c>
      <c r="H25" s="12">
        <v>0.631419601144885</v>
      </c>
      <c r="I25" s="13"/>
      <c r="J25" s="13"/>
      <c r="K25" s="12">
        <v>13952490</v>
      </c>
    </row>
    <row r="26" ht="20.05" customHeight="1">
      <c r="A26" t="s" s="9">
        <v>471</v>
      </c>
      <c r="B26" s="17"/>
      <c r="C26" s="13"/>
      <c r="D26" s="12">
        <v>0.8041070047265459</v>
      </c>
      <c r="E26" s="12">
        <v>0.870262262181566</v>
      </c>
      <c r="F26" s="12">
        <v>0.9320152592500131</v>
      </c>
      <c r="G26" s="12">
        <v>0.377088080274998</v>
      </c>
      <c r="H26" s="12">
        <v>0.628290480994647</v>
      </c>
      <c r="I26" s="13"/>
      <c r="J26" s="13"/>
      <c r="K26" s="12">
        <v>13952491</v>
      </c>
    </row>
    <row r="27" ht="44.05" customHeight="1">
      <c r="A27" t="s" s="9">
        <v>472</v>
      </c>
      <c r="B27" s="17"/>
      <c r="C27" s="13"/>
      <c r="D27" t="s" s="11">
        <v>473</v>
      </c>
      <c r="E27" s="13"/>
      <c r="F27" s="13"/>
      <c r="G27" s="13"/>
      <c r="H27" s="13"/>
      <c r="I27" s="13"/>
      <c r="J27" t="s" s="11">
        <v>469</v>
      </c>
      <c r="K27" s="12">
        <v>13952492</v>
      </c>
    </row>
    <row r="28" ht="20.05" customHeight="1">
      <c r="A28" t="s" s="9">
        <v>331</v>
      </c>
      <c r="B28" s="32">
        <v>300</v>
      </c>
      <c r="C28" s="13"/>
      <c r="D28" s="12" cm="1">
        <f t="array" ref="D28">AVERAGE(D24:D26)</f>
        <v>0.799208667802195</v>
      </c>
      <c r="E28" s="12" cm="1">
        <f t="array" ref="E28">AVERAGE(E24:E26)</f>
        <v>0.8706164188780851</v>
      </c>
      <c r="F28" s="12" cm="1">
        <f t="array" ref="F28">AVERAGE(F24:F26)</f>
        <v>0.9322095568530711</v>
      </c>
      <c r="G28" s="12" cm="1">
        <f t="array" ref="G28">AVERAGE(G24:G26)</f>
        <v>0.380993341048672</v>
      </c>
      <c r="H28" s="12" cm="1">
        <f t="array" ref="H28">AVERAGE(H24:H26)</f>
        <v>0.630066083677146</v>
      </c>
      <c r="I28" s="13"/>
      <c r="J28" s="13"/>
      <c r="K28" s="13"/>
    </row>
    <row r="29" ht="20.05" customHeight="1">
      <c r="A29" t="s" s="9">
        <v>450</v>
      </c>
      <c r="B29" s="32">
        <v>300</v>
      </c>
      <c r="C29" s="13"/>
      <c r="D29" s="12" cm="1">
        <f t="array" ref="D29">STDEV(D24:D26)</f>
        <v>0.0157843473136477</v>
      </c>
      <c r="E29" s="12" cm="1">
        <f t="array" ref="E29">STDEV(E24:E26)</f>
        <v>0.00278458120232027</v>
      </c>
      <c r="F29" s="12" cm="1">
        <f t="array" ref="F29">STDEV(F24:F26)</f>
        <v>0.00152160775075113</v>
      </c>
      <c r="G29" s="12" cm="1">
        <f t="array" ref="G29">STDEV(G24:G26)</f>
        <v>0.00340632497741514</v>
      </c>
      <c r="H29" s="12" cm="1">
        <f t="array" ref="H29">STDEV(H24:H26)</f>
        <v>0.00160669386475646</v>
      </c>
      <c r="I29" s="13"/>
      <c r="J29" s="13"/>
      <c r="K29" s="13"/>
    </row>
    <row r="30" ht="20.05" customHeight="1">
      <c r="A30" s="16"/>
      <c r="B30" s="17"/>
      <c r="C30" s="13"/>
      <c r="D30" s="13"/>
      <c r="E30" s="13"/>
      <c r="F30" s="13"/>
      <c r="G30" s="13"/>
      <c r="H30" s="13"/>
      <c r="I30" s="13"/>
      <c r="J30" s="13"/>
      <c r="K30" s="13"/>
    </row>
    <row r="31" ht="20.05" customHeight="1">
      <c r="A31" s="16"/>
      <c r="B31" s="17"/>
      <c r="C31" s="13"/>
      <c r="D31" s="13"/>
      <c r="E31" s="13"/>
      <c r="F31" s="13"/>
      <c r="G31" s="13"/>
      <c r="H31" s="13"/>
      <c r="I31" s="13"/>
      <c r="J31" s="13"/>
      <c r="K31" s="13"/>
    </row>
  </sheetData>
  <mergeCells count="1">
    <mergeCell ref="A1:K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.xml><?xml version="1.0" encoding="utf-8"?>
<worksheet xmlns:r="http://schemas.openxmlformats.org/officeDocument/2006/relationships" xmlns="http://schemas.openxmlformats.org/spreadsheetml/2006/main">
  <sheetPr>
    <pageSetUpPr fitToPage="1"/>
  </sheetPr>
  <dimension ref="A2:K48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1" width="16.3516" style="38" customWidth="1"/>
    <col min="12" max="16384" width="16.3516" style="38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32.25" customHeight="1">
      <c r="A2" t="s" s="3">
        <v>3</v>
      </c>
      <c r="B2" t="s" s="3">
        <v>458</v>
      </c>
      <c r="C2" t="s" s="3">
        <v>4</v>
      </c>
      <c r="D2" t="s" s="3">
        <v>230</v>
      </c>
      <c r="E2" t="s" s="3">
        <v>302</v>
      </c>
      <c r="F2" t="s" s="3">
        <v>231</v>
      </c>
      <c r="G2" t="s" s="3">
        <v>232</v>
      </c>
      <c r="H2" t="s" s="3">
        <v>233</v>
      </c>
      <c r="I2" t="s" s="3">
        <v>234</v>
      </c>
      <c r="J2" t="s" s="3">
        <v>235</v>
      </c>
      <c r="K2" t="s" s="3">
        <v>8</v>
      </c>
    </row>
    <row r="3" ht="20.25" customHeight="1">
      <c r="A3" t="s" s="4">
        <v>307</v>
      </c>
      <c r="B3" s="34"/>
      <c r="C3" s="8"/>
      <c r="D3" s="8"/>
      <c r="E3" s="8"/>
      <c r="F3" s="8"/>
      <c r="G3" s="8"/>
      <c r="H3" s="8"/>
      <c r="I3" s="8"/>
      <c r="J3" s="8"/>
      <c r="K3" s="8"/>
    </row>
    <row r="4" ht="20.05" customHeight="1">
      <c r="A4" t="s" s="9">
        <v>409</v>
      </c>
      <c r="B4" s="32">
        <v>100</v>
      </c>
      <c r="C4" s="13"/>
      <c r="D4" t="s" s="11">
        <v>245</v>
      </c>
      <c r="E4" s="12">
        <v>3.5921</v>
      </c>
      <c r="F4" s="12">
        <v>0.4386</v>
      </c>
      <c r="G4" s="12">
        <v>0.763</v>
      </c>
      <c r="H4" s="12">
        <v>-2.1116</v>
      </c>
      <c r="I4" s="12">
        <v>0.2851</v>
      </c>
      <c r="J4" s="13"/>
      <c r="K4" s="13"/>
    </row>
    <row r="5" ht="20.05" customHeight="1">
      <c r="A5" t="s" s="9">
        <v>415</v>
      </c>
      <c r="B5" s="32">
        <v>100</v>
      </c>
      <c r="C5" s="13"/>
      <c r="D5" t="s" s="11">
        <v>245</v>
      </c>
      <c r="E5" s="12">
        <v>2.8283</v>
      </c>
      <c r="F5" s="12">
        <v>0.5278</v>
      </c>
      <c r="G5" s="12">
        <v>0.7771</v>
      </c>
      <c r="H5" s="12">
        <v>-1.4556</v>
      </c>
      <c r="I5" s="12">
        <v>0.2929</v>
      </c>
      <c r="J5" s="13"/>
      <c r="K5" s="13"/>
    </row>
    <row r="6" ht="20.05" customHeight="1">
      <c r="A6" t="s" s="9">
        <v>462</v>
      </c>
      <c r="B6" s="32">
        <v>100</v>
      </c>
      <c r="C6" s="13"/>
      <c r="D6" t="s" s="11">
        <v>245</v>
      </c>
      <c r="E6" s="12">
        <v>2.6061</v>
      </c>
      <c r="F6" s="12">
        <v>0.5741000000000001</v>
      </c>
      <c r="G6" s="12">
        <v>0.7877</v>
      </c>
      <c r="H6" s="12">
        <v>-1.4179</v>
      </c>
      <c r="I6" s="12">
        <v>0.319</v>
      </c>
      <c r="J6" s="13"/>
      <c r="K6" s="13"/>
    </row>
    <row r="7" ht="20.05" customHeight="1">
      <c r="A7" t="s" s="9">
        <v>463</v>
      </c>
      <c r="B7" s="32">
        <v>100</v>
      </c>
      <c r="C7" s="13"/>
      <c r="D7" t="s" s="11">
        <v>245</v>
      </c>
      <c r="E7" s="12">
        <v>3.2309</v>
      </c>
      <c r="F7" s="12">
        <v>0.4312</v>
      </c>
      <c r="G7" s="12">
        <v>0.7776</v>
      </c>
      <c r="H7" s="12">
        <v>-2.4028</v>
      </c>
      <c r="I7" s="12">
        <v>0.2721</v>
      </c>
      <c r="J7" s="13"/>
      <c r="K7" s="13"/>
    </row>
    <row r="8" ht="20.05" customHeight="1">
      <c r="A8" t="s" s="9">
        <v>464</v>
      </c>
      <c r="B8" s="32">
        <v>100</v>
      </c>
      <c r="C8" s="13"/>
      <c r="D8" t="s" s="11">
        <v>245</v>
      </c>
      <c r="E8" s="12">
        <v>2.8144</v>
      </c>
      <c r="F8" s="12">
        <v>0.541</v>
      </c>
      <c r="G8" s="12">
        <v>0.7826</v>
      </c>
      <c r="H8" s="12">
        <v>-1.4199</v>
      </c>
      <c r="I8" s="12">
        <v>0.3115</v>
      </c>
      <c r="J8" s="13"/>
      <c r="K8" s="13"/>
    </row>
    <row r="9" ht="20.05" customHeight="1">
      <c r="A9" t="s" s="9">
        <v>331</v>
      </c>
      <c r="B9" s="32">
        <v>100</v>
      </c>
      <c r="C9" s="13"/>
      <c r="D9" t="s" s="11">
        <v>245</v>
      </c>
      <c r="E9" s="12" cm="1">
        <f t="array" ref="E9">AVERAGE(E4:E8)</f>
        <v>3.01436</v>
      </c>
      <c r="F9" s="12" cm="1">
        <f t="array" ref="F9">AVERAGE(F4:F8)</f>
        <v>0.50254</v>
      </c>
      <c r="G9" s="12" cm="1">
        <f t="array" ref="G9">AVERAGE(G4:G8)</f>
        <v>0.7776</v>
      </c>
      <c r="H9" s="12" cm="1">
        <f t="array" ref="H9">AVERAGE(H4:H8)</f>
        <v>-1.76156</v>
      </c>
      <c r="I9" s="12" cm="1">
        <f t="array" ref="I9">AVERAGE(I4:I8)</f>
        <v>0.29612</v>
      </c>
      <c r="J9" s="13"/>
      <c r="K9" s="13"/>
    </row>
    <row r="10" ht="20.05" customHeight="1">
      <c r="A10" t="s" s="9">
        <v>332</v>
      </c>
      <c r="B10" s="32">
        <v>100</v>
      </c>
      <c r="C10" s="13"/>
      <c r="D10" t="s" s="11">
        <v>245</v>
      </c>
      <c r="E10" s="12" cm="1">
        <f t="array" ref="E10">STDEV(E4:E8)</f>
        <v>0.394319550618531</v>
      </c>
      <c r="F10" s="12" cm="1">
        <f t="array" ref="F10">STDEV(F4:F8)</f>
        <v>0.0640620636570506</v>
      </c>
      <c r="G10" s="12" cm="1">
        <f t="array" ref="G10">STDEV(G4:G8)</f>
        <v>0.009225237124323689</v>
      </c>
      <c r="H10" s="12" cm="1">
        <f t="array" ref="H10">STDEV(H4:H8)</f>
        <v>0.464263398298854</v>
      </c>
      <c r="I10" s="12" cm="1">
        <f t="array" ref="I10">STDEV(I4:I8)</f>
        <v>0.0191625154924921</v>
      </c>
      <c r="J10" s="13"/>
      <c r="K10" s="13"/>
    </row>
    <row r="11" ht="20.05" customHeight="1">
      <c r="A11" s="16"/>
      <c r="B11" s="17"/>
      <c r="C11" s="13"/>
      <c r="D11" s="13"/>
      <c r="E11" s="13"/>
      <c r="F11" s="13"/>
      <c r="G11" s="13"/>
      <c r="H11" s="13"/>
      <c r="I11" s="13"/>
      <c r="J11" s="13"/>
      <c r="K11" s="13"/>
    </row>
    <row r="12" ht="20.05" customHeight="1">
      <c r="A12" t="s" s="9">
        <v>372</v>
      </c>
      <c r="B12" s="17"/>
      <c r="C12" s="13"/>
      <c r="D12" s="13"/>
      <c r="E12" s="13"/>
      <c r="F12" s="13"/>
      <c r="G12" s="13"/>
      <c r="H12" s="13"/>
      <c r="I12" s="13"/>
      <c r="J12" s="13"/>
      <c r="K12" s="13"/>
    </row>
    <row r="13" ht="20.05" customHeight="1">
      <c r="A13" t="s" s="9">
        <v>413</v>
      </c>
      <c r="B13" s="32">
        <v>100</v>
      </c>
      <c r="C13" s="13"/>
      <c r="D13" t="s" s="11">
        <v>245</v>
      </c>
      <c r="E13" s="12">
        <v>1.852</v>
      </c>
      <c r="F13" s="12">
        <v>0.6927</v>
      </c>
      <c r="G13" s="12">
        <v>0.8466</v>
      </c>
      <c r="H13" s="12">
        <v>-0.5939</v>
      </c>
      <c r="I13" s="12">
        <v>0.381</v>
      </c>
      <c r="J13" s="13"/>
      <c r="K13" s="13"/>
    </row>
    <row r="14" ht="20.05" customHeight="1">
      <c r="A14" t="s" s="9">
        <v>419</v>
      </c>
      <c r="B14" s="32">
        <v>100</v>
      </c>
      <c r="C14" s="13"/>
      <c r="D14" t="s" s="11">
        <v>245</v>
      </c>
      <c r="E14" s="12">
        <v>1.8334</v>
      </c>
      <c r="F14" s="12">
        <v>0.6958</v>
      </c>
      <c r="G14" s="12">
        <v>0.8481</v>
      </c>
      <c r="H14" s="12">
        <v>-0.5788</v>
      </c>
      <c r="I14" s="12">
        <v>0.3819</v>
      </c>
      <c r="J14" s="13"/>
      <c r="K14" s="13"/>
    </row>
    <row r="15" ht="20.05" customHeight="1">
      <c r="A15" t="s" s="9">
        <v>465</v>
      </c>
      <c r="B15" s="32">
        <v>100</v>
      </c>
      <c r="C15" s="13"/>
      <c r="D15" t="s" s="11">
        <v>245</v>
      </c>
      <c r="E15" s="12">
        <v>1.8369</v>
      </c>
      <c r="F15" s="12">
        <v>0.6957</v>
      </c>
      <c r="G15" s="12">
        <v>0.8476</v>
      </c>
      <c r="H15" s="12">
        <v>-0.5772</v>
      </c>
      <c r="I15" s="12">
        <v>0.3827</v>
      </c>
      <c r="J15" s="13"/>
      <c r="K15" s="13"/>
    </row>
    <row r="16" ht="20.05" customHeight="1">
      <c r="A16" t="s" s="9">
        <v>466</v>
      </c>
      <c r="B16" s="32">
        <v>100</v>
      </c>
      <c r="C16" s="13"/>
      <c r="D16" t="s" s="11">
        <v>245</v>
      </c>
      <c r="E16" s="12">
        <v>1.84</v>
      </c>
      <c r="F16" s="12">
        <v>0.6946</v>
      </c>
      <c r="G16" s="12">
        <v>0.8477</v>
      </c>
      <c r="H16" s="12">
        <v>-0.5757</v>
      </c>
      <c r="I16" s="12">
        <v>0.3823</v>
      </c>
      <c r="J16" s="13"/>
      <c r="K16" s="13"/>
    </row>
    <row r="17" ht="20.05" customHeight="1">
      <c r="A17" t="s" s="9">
        <v>467</v>
      </c>
      <c r="B17" s="32">
        <v>100</v>
      </c>
      <c r="C17" s="13"/>
      <c r="D17" t="s" s="11">
        <v>245</v>
      </c>
      <c r="E17" s="12">
        <v>1.841</v>
      </c>
      <c r="F17" s="12">
        <v>0.6944</v>
      </c>
      <c r="G17" s="12">
        <v>0.8473000000000001</v>
      </c>
      <c r="H17" s="12">
        <v>-0.5696</v>
      </c>
      <c r="I17" s="12">
        <v>0.3831</v>
      </c>
      <c r="J17" s="13"/>
      <c r="K17" s="13"/>
    </row>
    <row r="18" ht="20.05" customHeight="1">
      <c r="A18" t="s" s="9">
        <v>331</v>
      </c>
      <c r="B18" s="32">
        <v>100</v>
      </c>
      <c r="C18" s="13"/>
      <c r="D18" t="s" s="11">
        <v>245</v>
      </c>
      <c r="E18" s="12" cm="1">
        <f t="array" ref="E18">AVERAGE(E13:E17)</f>
        <v>1.84066</v>
      </c>
      <c r="F18" s="12" cm="1">
        <f t="array" ref="F18">AVERAGE(F13:F17)</f>
        <v>0.69464</v>
      </c>
      <c r="G18" s="12" cm="1">
        <f t="array" ref="G18">AVERAGE(G13:G17)</f>
        <v>0.84746</v>
      </c>
      <c r="H18" s="12" cm="1">
        <f t="array" ref="H18">AVERAGE(H13:H17)</f>
        <v>-0.57904</v>
      </c>
      <c r="I18" s="12" cm="1">
        <f t="array" ref="I18">AVERAGE(I13:I17)</f>
        <v>0.3822</v>
      </c>
      <c r="J18" s="13"/>
      <c r="K18" s="13"/>
    </row>
    <row r="19" ht="20.05" customHeight="1">
      <c r="A19" t="s" s="9">
        <v>332</v>
      </c>
      <c r="B19" s="32">
        <v>100</v>
      </c>
      <c r="C19" s="13"/>
      <c r="D19" t="s" s="11">
        <v>245</v>
      </c>
      <c r="E19" s="12" cm="1">
        <f t="array" ref="E19">STDEV(E13:E17)</f>
        <v>0.00699985714139939</v>
      </c>
      <c r="F19" s="12" cm="1">
        <f t="array" ref="F19">STDEV(F13:F17)</f>
        <v>0.00125419296760905</v>
      </c>
      <c r="G19" s="12" cm="1">
        <f t="array" ref="G19">STDEV(G13:G17)</f>
        <v>0.000559464029227975</v>
      </c>
      <c r="H19" s="12" cm="1">
        <f t="array" ref="H19">STDEV(H13:H17)</f>
        <v>0.009007385858283191</v>
      </c>
      <c r="I19" s="12" cm="1">
        <f t="array" ref="I19">STDEV(I13:I17)</f>
        <v>0.000806225774829855</v>
      </c>
      <c r="J19" s="13"/>
      <c r="K19" s="13"/>
    </row>
    <row r="20" ht="20.05" customHeight="1">
      <c r="A20" s="16"/>
      <c r="B20" s="17"/>
      <c r="C20" s="13"/>
      <c r="D20" s="13"/>
      <c r="E20" s="13"/>
      <c r="F20" s="13"/>
      <c r="G20" s="13"/>
      <c r="H20" s="13"/>
      <c r="I20" s="13"/>
      <c r="J20" s="13"/>
      <c r="K20" s="13"/>
    </row>
    <row r="21" ht="20.05" customHeight="1">
      <c r="A21" t="s" s="9">
        <v>333</v>
      </c>
      <c r="B21" s="17"/>
      <c r="C21" s="13"/>
      <c r="D21" s="13"/>
      <c r="E21" s="13"/>
      <c r="F21" s="13"/>
      <c r="G21" s="13"/>
      <c r="H21" s="13"/>
      <c r="I21" s="13"/>
      <c r="J21" s="13"/>
      <c r="K21" s="13"/>
    </row>
    <row r="22" ht="20.05" customHeight="1">
      <c r="A22" t="s" s="9">
        <v>411</v>
      </c>
      <c r="B22" s="32">
        <v>100</v>
      </c>
      <c r="C22" s="13"/>
      <c r="D22" t="s" s="11">
        <v>245</v>
      </c>
      <c r="E22" s="12">
        <v>1.8279</v>
      </c>
      <c r="F22" s="12">
        <v>0.6974</v>
      </c>
      <c r="G22" s="12">
        <v>0.8491</v>
      </c>
      <c r="H22" s="12">
        <v>-0.625</v>
      </c>
      <c r="I22" s="12">
        <v>0.3761</v>
      </c>
      <c r="J22" s="13"/>
      <c r="K22" s="13"/>
    </row>
    <row r="23" ht="20.05" customHeight="1">
      <c r="A23" t="s" s="9">
        <v>417</v>
      </c>
      <c r="B23" s="32">
        <v>100</v>
      </c>
      <c r="C23" s="13"/>
      <c r="D23" t="s" s="11">
        <v>245</v>
      </c>
      <c r="E23" s="12">
        <v>1.8581</v>
      </c>
      <c r="F23" s="12">
        <v>0.6922</v>
      </c>
      <c r="G23" s="12">
        <v>0.8456</v>
      </c>
      <c r="H23" s="12">
        <v>-0.5816</v>
      </c>
      <c r="I23" s="12">
        <v>0.3762</v>
      </c>
      <c r="J23" s="13"/>
      <c r="K23" s="13"/>
    </row>
    <row r="24" ht="20.05" customHeight="1">
      <c r="A24" t="s" s="9">
        <v>470</v>
      </c>
      <c r="B24" s="32">
        <v>100</v>
      </c>
      <c r="C24" s="13"/>
      <c r="D24" t="s" s="11">
        <v>245</v>
      </c>
      <c r="E24" s="12">
        <v>1.7989</v>
      </c>
      <c r="F24" s="12">
        <v>0.703</v>
      </c>
      <c r="G24" s="12">
        <v>0.8516</v>
      </c>
      <c r="H24" s="12">
        <v>-0.5862000000000001</v>
      </c>
      <c r="I24" s="12">
        <v>0.3811</v>
      </c>
      <c r="J24" s="13"/>
      <c r="K24" s="13"/>
    </row>
    <row r="25" ht="20.05" customHeight="1">
      <c r="A25" t="s" s="9">
        <v>471</v>
      </c>
      <c r="B25" s="32">
        <v>100</v>
      </c>
      <c r="C25" s="13"/>
      <c r="D25" t="s" s="11">
        <v>245</v>
      </c>
      <c r="E25" s="12">
        <v>1.8431</v>
      </c>
      <c r="F25" s="12">
        <v>0.6974</v>
      </c>
      <c r="G25" s="12">
        <v>0.8486</v>
      </c>
      <c r="H25" s="12">
        <v>-0.6075</v>
      </c>
      <c r="I25" s="12">
        <v>0.3765</v>
      </c>
      <c r="J25" s="13"/>
      <c r="K25" s="13"/>
    </row>
    <row r="26" ht="20.05" customHeight="1">
      <c r="A26" t="s" s="9">
        <v>472</v>
      </c>
      <c r="B26" s="32">
        <v>100</v>
      </c>
      <c r="C26" s="13"/>
      <c r="D26" t="s" s="11">
        <v>245</v>
      </c>
      <c r="E26" s="12">
        <v>1.8691</v>
      </c>
      <c r="F26" s="12">
        <v>0.6916</v>
      </c>
      <c r="G26" s="12">
        <v>0.8474</v>
      </c>
      <c r="H26" s="12">
        <v>-0.6381</v>
      </c>
      <c r="I26" s="12">
        <v>0.3739</v>
      </c>
      <c r="J26" s="13"/>
      <c r="K26" s="13"/>
    </row>
    <row r="27" ht="20.05" customHeight="1">
      <c r="A27" t="s" s="9">
        <v>331</v>
      </c>
      <c r="B27" s="32">
        <v>100</v>
      </c>
      <c r="C27" s="13"/>
      <c r="D27" t="s" s="11">
        <v>245</v>
      </c>
      <c r="E27" s="12" cm="1">
        <f t="array" ref="E27">AVERAGE(E22:E26)</f>
        <v>1.83942</v>
      </c>
      <c r="F27" s="12" cm="1">
        <f t="array" ref="F27">AVERAGE(F22:F26)</f>
        <v>0.6963200000000001</v>
      </c>
      <c r="G27" s="12" cm="1">
        <f t="array" ref="G27">AVERAGE(G22:G26)</f>
        <v>0.84846</v>
      </c>
      <c r="H27" s="12" cm="1">
        <f t="array" ref="H27">AVERAGE(H22:H26)</f>
        <v>-0.60768</v>
      </c>
      <c r="I27" s="12" cm="1">
        <f t="array" ref="I27">AVERAGE(I22:I26)</f>
        <v>0.37676</v>
      </c>
      <c r="J27" s="13"/>
      <c r="K27" s="13"/>
    </row>
    <row r="28" ht="20.05" customHeight="1">
      <c r="A28" t="s" s="9">
        <v>332</v>
      </c>
      <c r="B28" s="32">
        <v>100</v>
      </c>
      <c r="C28" s="13"/>
      <c r="D28" t="s" s="11">
        <v>245</v>
      </c>
      <c r="E28" s="12" cm="1">
        <f t="array" ref="E28">STDEV(E22:E26)</f>
        <v>0.0274680177661221</v>
      </c>
      <c r="F28" s="12" cm="1">
        <f t="array" ref="F28">STDEV(F22:F26)</f>
        <v>0.00464241316558533</v>
      </c>
      <c r="G28" s="12" cm="1">
        <f t="array" ref="G28">STDEV(G22:G26)</f>
        <v>0.00221314256205966</v>
      </c>
      <c r="H28" s="12" cm="1">
        <f t="array" ref="H28">STDEV(H22:H26)</f>
        <v>0.0243256449040925</v>
      </c>
      <c r="I28" s="12" cm="1">
        <f t="array" ref="I28">STDEV(I22:I26)</f>
        <v>0.00263780211539835</v>
      </c>
      <c r="J28" s="13"/>
      <c r="K28" s="13"/>
    </row>
    <row r="29" ht="20.05" customHeight="1">
      <c r="A29" s="16"/>
      <c r="B29" s="17"/>
      <c r="C29" s="13"/>
      <c r="D29" s="13"/>
      <c r="E29" s="13"/>
      <c r="F29" s="13"/>
      <c r="G29" s="13"/>
      <c r="H29" s="13"/>
      <c r="I29" s="13"/>
      <c r="J29" s="13"/>
      <c r="K29" s="13"/>
    </row>
    <row r="30" ht="20.05" customHeight="1">
      <c r="A30" s="16"/>
      <c r="B30" s="17"/>
      <c r="C30" s="13"/>
      <c r="D30" s="13"/>
      <c r="E30" s="13"/>
      <c r="F30" s="13"/>
      <c r="G30" s="13"/>
      <c r="H30" s="13"/>
      <c r="I30" s="13"/>
      <c r="J30" s="13"/>
      <c r="K30" s="13"/>
    </row>
    <row r="31" ht="20.05" customHeight="1">
      <c r="A31" t="s" s="9">
        <v>408</v>
      </c>
      <c r="B31" s="17"/>
      <c r="C31" s="13"/>
      <c r="D31" s="13"/>
      <c r="E31" s="13"/>
      <c r="F31" s="13"/>
      <c r="G31" s="13"/>
      <c r="H31" s="13"/>
      <c r="I31" s="13"/>
      <c r="J31" s="13"/>
      <c r="K31" s="13"/>
    </row>
    <row r="32" ht="20.05" customHeight="1">
      <c r="A32" t="s" s="9">
        <v>409</v>
      </c>
      <c r="B32" s="32">
        <v>50</v>
      </c>
      <c r="C32" s="13"/>
      <c r="D32" t="s" s="11">
        <v>245</v>
      </c>
      <c r="E32" s="12">
        <v>0.0402</v>
      </c>
      <c r="F32" s="12">
        <v>0.5125</v>
      </c>
      <c r="G32" s="12">
        <v>0.7599</v>
      </c>
      <c r="H32" s="12">
        <v>-1.4052</v>
      </c>
      <c r="I32" s="12">
        <v>0.3069</v>
      </c>
      <c r="J32" s="13"/>
      <c r="K32" s="13"/>
    </row>
    <row r="33" ht="20.05" customHeight="1">
      <c r="A33" t="s" s="9">
        <v>415</v>
      </c>
      <c r="B33" s="32">
        <v>50</v>
      </c>
      <c r="C33" s="13"/>
      <c r="D33" t="s" s="11">
        <v>245</v>
      </c>
      <c r="E33" s="12">
        <v>0.0348</v>
      </c>
      <c r="F33" s="12">
        <v>0.5405</v>
      </c>
      <c r="G33" s="12">
        <v>0.7749</v>
      </c>
      <c r="H33" s="12">
        <v>-1.1711</v>
      </c>
      <c r="I33" s="12">
        <v>0.3146</v>
      </c>
      <c r="J33" s="13"/>
      <c r="K33" s="13"/>
    </row>
    <row r="34" ht="20.05" customHeight="1">
      <c r="A34" t="s" s="9">
        <v>331</v>
      </c>
      <c r="B34" s="32">
        <v>50</v>
      </c>
      <c r="C34" s="13"/>
      <c r="D34" t="s" s="11">
        <v>245</v>
      </c>
      <c r="E34" s="12" cm="1">
        <f t="array" ref="E34">AVERAGE(E32:E33)</f>
        <v>0.0375</v>
      </c>
      <c r="F34" s="12" cm="1">
        <f t="array" ref="F34">AVERAGE(F32:F33)</f>
        <v>0.5265</v>
      </c>
      <c r="G34" s="12" cm="1">
        <f t="array" ref="G34">AVERAGE(G32:G33)</f>
        <v>0.7674</v>
      </c>
      <c r="H34" s="12" cm="1">
        <f t="array" ref="H34">AVERAGE(H32:H33)</f>
        <v>-1.28815</v>
      </c>
      <c r="I34" s="12" cm="1">
        <f t="array" ref="I34">AVERAGE(I32:I33)</f>
        <v>0.31075</v>
      </c>
      <c r="J34" s="13"/>
      <c r="K34" s="13"/>
    </row>
    <row r="35" ht="20.05" customHeight="1">
      <c r="A35" t="s" s="9">
        <v>332</v>
      </c>
      <c r="B35" s="32">
        <v>50</v>
      </c>
      <c r="C35" s="13"/>
      <c r="D35" t="s" s="11">
        <v>245</v>
      </c>
      <c r="E35" s="12" cm="1">
        <f t="array" ref="E35">STDEV(E32:E33)</f>
        <v>0.00381837661840736</v>
      </c>
      <c r="F35" s="12" cm="1">
        <f t="array" ref="F35">STDEV(F32:F33)</f>
        <v>0.0197989898732233</v>
      </c>
      <c r="G35" s="12" cm="1">
        <f t="array" ref="G35">STDEV(G32:G33)</f>
        <v>0.0106066017177982</v>
      </c>
      <c r="H35" s="12" cm="1">
        <f t="array" ref="H35">STDEV(H32:H33)</f>
        <v>0.165533697475771</v>
      </c>
      <c r="I35" s="12" cm="1">
        <f t="array" ref="I35">STDEV(I32:I33)</f>
        <v>0.00544472221513642</v>
      </c>
      <c r="J35" s="13"/>
      <c r="K35" s="13"/>
    </row>
    <row r="36" ht="20.05" customHeight="1">
      <c r="A36" s="16"/>
      <c r="B36" s="17"/>
      <c r="C36" s="13"/>
      <c r="D36" s="13"/>
      <c r="E36" s="13"/>
      <c r="F36" s="13"/>
      <c r="G36" s="13"/>
      <c r="H36" s="13"/>
      <c r="I36" s="13"/>
      <c r="J36" s="13"/>
      <c r="K36" s="13"/>
    </row>
    <row r="37" ht="20.05" customHeight="1">
      <c r="A37" t="s" s="9">
        <v>411</v>
      </c>
      <c r="B37" s="32">
        <v>50</v>
      </c>
      <c r="C37" s="13"/>
      <c r="D37" t="s" s="11">
        <v>245</v>
      </c>
      <c r="E37" s="12">
        <v>0.0278</v>
      </c>
      <c r="F37" s="12">
        <v>0.6409</v>
      </c>
      <c r="G37" s="12">
        <v>0.8226</v>
      </c>
      <c r="H37" s="12">
        <v>-0.7282999999999999</v>
      </c>
      <c r="I37" s="12">
        <v>0.3673</v>
      </c>
      <c r="J37" s="13"/>
      <c r="K37" s="13"/>
    </row>
    <row r="38" ht="20.05" customHeight="1">
      <c r="A38" t="s" s="9">
        <v>417</v>
      </c>
      <c r="B38" s="32">
        <v>50</v>
      </c>
      <c r="C38" s="13"/>
      <c r="D38" t="s" s="11">
        <v>245</v>
      </c>
      <c r="E38" s="12">
        <v>0.0281</v>
      </c>
      <c r="F38" s="12">
        <v>0.6367</v>
      </c>
      <c r="G38" s="12">
        <v>0.8206</v>
      </c>
      <c r="H38" s="12">
        <v>-0.6679</v>
      </c>
      <c r="I38" s="12">
        <v>0.3704</v>
      </c>
      <c r="J38" s="13"/>
      <c r="K38" s="13"/>
    </row>
    <row r="39" ht="20.05" customHeight="1">
      <c r="A39" t="s" s="9">
        <v>331</v>
      </c>
      <c r="B39" s="32">
        <v>50</v>
      </c>
      <c r="C39" s="13"/>
      <c r="D39" t="s" s="11">
        <v>245</v>
      </c>
      <c r="E39" s="12" cm="1">
        <f t="array" ref="E39">AVERAGE(E37:E38)</f>
        <v>0.02795</v>
      </c>
      <c r="F39" s="12" cm="1">
        <f t="array" ref="F39">AVERAGE(F37:F38)</f>
        <v>0.6388</v>
      </c>
      <c r="G39" s="12" cm="1">
        <f t="array" ref="G39">AVERAGE(G37:G38)</f>
        <v>0.8216</v>
      </c>
      <c r="H39" s="12" cm="1">
        <f t="array" ref="H39">AVERAGE(H37:H38)</f>
        <v>-0.6981000000000001</v>
      </c>
      <c r="I39" s="12" cm="1">
        <f t="array" ref="I39">AVERAGE(I37:I38)</f>
        <v>0.36885</v>
      </c>
      <c r="J39" s="13"/>
      <c r="K39" s="13"/>
    </row>
    <row r="40" ht="20.05" customHeight="1">
      <c r="A40" t="s" s="9">
        <v>332</v>
      </c>
      <c r="B40" s="32">
        <v>50</v>
      </c>
      <c r="C40" s="13"/>
      <c r="D40" t="s" s="11">
        <v>245</v>
      </c>
      <c r="E40" s="12" cm="1">
        <f t="array" ref="E40">STDEV(E37:E38)</f>
        <v>0.000212132034355964</v>
      </c>
      <c r="F40" s="12" cm="1">
        <f t="array" ref="F40">STDEV(F37:F38)</f>
        <v>0.0029698484809835</v>
      </c>
      <c r="G40" s="12" cm="1">
        <f t="array" ref="G40">STDEV(G37:G38)</f>
        <v>0.0014142135623731</v>
      </c>
      <c r="H40" s="12" cm="1">
        <f t="array" ref="H40">STDEV(H37:H38)</f>
        <v>0.0427092495836675</v>
      </c>
      <c r="I40" s="12" cm="1">
        <f t="array" ref="I40">STDEV(I37:I38)</f>
        <v>0.0021920310216783</v>
      </c>
      <c r="J40" s="13"/>
      <c r="K40" s="13"/>
    </row>
    <row r="41" ht="20.05" customHeight="1">
      <c r="A41" s="16"/>
      <c r="B41" s="17"/>
      <c r="C41" s="13"/>
      <c r="D41" s="13"/>
      <c r="E41" s="13"/>
      <c r="F41" s="13"/>
      <c r="G41" s="13"/>
      <c r="H41" s="13"/>
      <c r="I41" s="13"/>
      <c r="J41" s="13"/>
      <c r="K41" s="13"/>
    </row>
    <row r="42" ht="20.05" customHeight="1">
      <c r="A42" t="s" s="9">
        <v>413</v>
      </c>
      <c r="B42" s="32">
        <v>50</v>
      </c>
      <c r="C42" s="13"/>
      <c r="D42" t="s" s="11">
        <v>245</v>
      </c>
      <c r="E42" s="12">
        <v>0.0278</v>
      </c>
      <c r="F42" s="12">
        <v>0.6407</v>
      </c>
      <c r="G42" s="12">
        <v>0.8225</v>
      </c>
      <c r="H42" s="12">
        <v>-0.657</v>
      </c>
      <c r="I42" s="12">
        <v>0.3755</v>
      </c>
      <c r="J42" s="13"/>
      <c r="K42" s="13"/>
    </row>
    <row r="43" ht="20.05" customHeight="1">
      <c r="A43" t="s" s="9">
        <v>419</v>
      </c>
      <c r="B43" s="32">
        <v>50</v>
      </c>
      <c r="C43" s="13"/>
      <c r="D43" t="s" s="11">
        <v>245</v>
      </c>
      <c r="E43" s="12">
        <v>0.0276</v>
      </c>
      <c r="F43" s="12">
        <v>0.6427</v>
      </c>
      <c r="G43" s="12">
        <v>0.8233</v>
      </c>
      <c r="H43" s="12">
        <v>-0.6558</v>
      </c>
      <c r="I43" s="12">
        <v>0.3751</v>
      </c>
      <c r="J43" s="13"/>
      <c r="K43" s="13"/>
    </row>
    <row r="44" ht="20.05" customHeight="1">
      <c r="A44" t="s" s="9">
        <v>331</v>
      </c>
      <c r="B44" s="32">
        <v>50</v>
      </c>
      <c r="C44" s="13"/>
      <c r="D44" t="s" s="11">
        <v>245</v>
      </c>
      <c r="E44" s="12" cm="1">
        <f t="array" ref="E44">AVERAGE(E42:E43)</f>
        <v>0.0277</v>
      </c>
      <c r="F44" s="12" cm="1">
        <f t="array" ref="F44">AVERAGE(F42:F43)</f>
        <v>0.6417</v>
      </c>
      <c r="G44" s="12" cm="1">
        <f t="array" ref="G44">AVERAGE(G42:G43)</f>
        <v>0.8229</v>
      </c>
      <c r="H44" s="12" cm="1">
        <f t="array" ref="H44">AVERAGE(H42:H43)</f>
        <v>-0.6564</v>
      </c>
      <c r="I44" s="12" cm="1">
        <f t="array" ref="I44">AVERAGE(I42:I43)</f>
        <v>0.3753</v>
      </c>
      <c r="J44" s="13"/>
      <c r="K44" s="13"/>
    </row>
    <row r="45" ht="20.05" customHeight="1">
      <c r="A45" t="s" s="9">
        <v>332</v>
      </c>
      <c r="B45" s="32">
        <v>50</v>
      </c>
      <c r="C45" s="13"/>
      <c r="D45" t="s" s="11">
        <v>245</v>
      </c>
      <c r="E45" s="12" cm="1">
        <f t="array" ref="E45">STDEV(E42:E43)</f>
        <v>0.00014142135623731</v>
      </c>
      <c r="F45" s="12" cm="1">
        <f t="array" ref="F45">STDEV(F42:F43)</f>
        <v>0.0014142135623731</v>
      </c>
      <c r="G45" s="12" cm="1">
        <f t="array" ref="G45">STDEV(G42:G43)</f>
        <v>0.000565685424949238</v>
      </c>
      <c r="H45" s="12" cm="1">
        <f t="array" ref="H45">STDEV(H42:H43)</f>
        <v>0.000848528137423857</v>
      </c>
      <c r="I45" s="12" cm="1">
        <f t="array" ref="I45">STDEV(I42:I43)</f>
        <v>0.000282842712474619</v>
      </c>
      <c r="J45" s="13"/>
      <c r="K45" s="13"/>
    </row>
    <row r="46" ht="20.05" customHeight="1">
      <c r="A46" s="16"/>
      <c r="B46" s="17"/>
      <c r="C46" s="13"/>
      <c r="D46" s="13"/>
      <c r="E46" s="13"/>
      <c r="F46" s="13"/>
      <c r="G46" s="13"/>
      <c r="H46" s="13"/>
      <c r="I46" s="13"/>
      <c r="J46" s="13"/>
      <c r="K46" s="13"/>
    </row>
    <row r="47" ht="20.05" customHeight="1">
      <c r="A47" s="16"/>
      <c r="B47" s="17"/>
      <c r="C47" s="13"/>
      <c r="D47" s="13"/>
      <c r="E47" s="13"/>
      <c r="F47" s="13"/>
      <c r="G47" s="13"/>
      <c r="H47" s="13"/>
      <c r="I47" s="13"/>
      <c r="J47" s="13"/>
      <c r="K47" s="13"/>
    </row>
    <row r="48" ht="20.05" customHeight="1">
      <c r="A48" s="16"/>
      <c r="B48" s="17"/>
      <c r="C48" s="13"/>
      <c r="D48" s="13"/>
      <c r="E48" s="13"/>
      <c r="F48" s="13"/>
      <c r="G48" s="13"/>
      <c r="H48" s="13"/>
      <c r="I48" s="13"/>
      <c r="J48" s="13"/>
      <c r="K48" s="13"/>
    </row>
  </sheetData>
  <mergeCells count="1">
    <mergeCell ref="A1:K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.xml><?xml version="1.0" encoding="utf-8"?>
<worksheet xmlns:r="http://schemas.openxmlformats.org/officeDocument/2006/relationships" xmlns="http://schemas.openxmlformats.org/spreadsheetml/2006/main">
  <sheetPr>
    <pageSetUpPr fitToPage="1"/>
  </sheetPr>
  <dimension ref="A2:I89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9" width="16.3516" style="39" customWidth="1"/>
    <col min="10" max="16384" width="16.3516" style="39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</row>
    <row r="2" ht="32.25" customHeight="1">
      <c r="A2" t="s" s="3">
        <v>3</v>
      </c>
      <c r="B2" t="s" s="3">
        <v>230</v>
      </c>
      <c r="C2" t="s" s="3">
        <v>302</v>
      </c>
      <c r="D2" t="s" s="3">
        <v>231</v>
      </c>
      <c r="E2" t="s" s="3">
        <v>232</v>
      </c>
      <c r="F2" t="s" s="3">
        <v>233</v>
      </c>
      <c r="G2" t="s" s="3">
        <v>234</v>
      </c>
      <c r="H2" t="s" s="3">
        <v>235</v>
      </c>
      <c r="I2" t="s" s="3">
        <v>8</v>
      </c>
    </row>
    <row r="3" ht="20.25" customHeight="1">
      <c r="A3" t="s" s="4">
        <v>474</v>
      </c>
      <c r="B3" s="34"/>
      <c r="C3" s="8"/>
      <c r="D3" s="8"/>
      <c r="E3" s="8"/>
      <c r="F3" s="8"/>
      <c r="G3" s="8"/>
      <c r="H3" s="8"/>
      <c r="I3" s="8"/>
    </row>
    <row r="4" ht="20.05" customHeight="1">
      <c r="A4" t="s" s="9">
        <v>307</v>
      </c>
      <c r="B4" s="17"/>
      <c r="C4" s="13"/>
      <c r="D4" s="13"/>
      <c r="E4" s="13"/>
      <c r="F4" s="13"/>
      <c r="G4" s="13"/>
      <c r="H4" s="13"/>
      <c r="I4" s="13"/>
    </row>
    <row r="5" ht="20.05" customHeight="1">
      <c r="A5" t="s" s="9">
        <v>409</v>
      </c>
      <c r="B5" t="s" s="10">
        <v>245</v>
      </c>
      <c r="C5" s="12">
        <v>1.55</v>
      </c>
      <c r="D5" s="12">
        <v>0.7684</v>
      </c>
      <c r="E5" s="12">
        <v>0.8821</v>
      </c>
      <c r="F5" s="13"/>
      <c r="G5" s="13"/>
      <c r="H5" s="13"/>
      <c r="I5" s="13"/>
    </row>
    <row r="6" ht="20.05" customHeight="1">
      <c r="A6" t="s" s="9">
        <v>415</v>
      </c>
      <c r="B6" t="s" s="10">
        <v>245</v>
      </c>
      <c r="C6" s="12">
        <v>1.5338</v>
      </c>
      <c r="D6" s="12">
        <v>0.7529</v>
      </c>
      <c r="E6" s="12">
        <v>0.877</v>
      </c>
      <c r="F6" s="13"/>
      <c r="G6" s="13"/>
      <c r="H6" s="13"/>
      <c r="I6" s="13"/>
    </row>
    <row r="7" ht="20.05" customHeight="1">
      <c r="A7" t="s" s="9">
        <v>462</v>
      </c>
      <c r="B7" t="s" s="10">
        <v>245</v>
      </c>
      <c r="C7" s="12">
        <v>1.4064</v>
      </c>
      <c r="D7" s="12">
        <v>0.7735</v>
      </c>
      <c r="E7" s="12">
        <v>0.8881</v>
      </c>
      <c r="F7" s="13"/>
      <c r="G7" s="13"/>
      <c r="H7" s="13"/>
      <c r="I7" s="13"/>
    </row>
    <row r="8" ht="20.05" customHeight="1">
      <c r="A8" t="s" s="9">
        <v>463</v>
      </c>
      <c r="B8" t="s" s="10">
        <v>245</v>
      </c>
      <c r="C8" s="12">
        <v>1.3075</v>
      </c>
      <c r="D8" s="12">
        <v>0.7776999999999999</v>
      </c>
      <c r="E8" s="12">
        <v>0.8898</v>
      </c>
      <c r="F8" s="13"/>
      <c r="G8" s="13"/>
      <c r="H8" s="13"/>
      <c r="I8" s="13"/>
    </row>
    <row r="9" ht="20.05" customHeight="1">
      <c r="A9" t="s" s="9">
        <v>464</v>
      </c>
      <c r="B9" t="s" s="10">
        <v>245</v>
      </c>
      <c r="C9" s="12">
        <v>1.5141</v>
      </c>
      <c r="D9" s="12">
        <v>0.7596000000000001</v>
      </c>
      <c r="E9" s="12">
        <v>0.8817</v>
      </c>
      <c r="F9" s="13"/>
      <c r="G9" s="13"/>
      <c r="H9" s="13"/>
      <c r="I9" s="13"/>
    </row>
    <row r="10" ht="20.05" customHeight="1">
      <c r="A10" t="s" s="9">
        <v>331</v>
      </c>
      <c r="B10" t="s" s="10">
        <v>245</v>
      </c>
      <c r="C10" s="12" cm="1">
        <f t="array" ref="C10">AVERAGE(C5:C9)</f>
        <v>1.46236</v>
      </c>
      <c r="D10" s="12" cm="1">
        <f t="array" ref="D10">AVERAGE(D5:D9)</f>
        <v>0.76642</v>
      </c>
      <c r="E10" s="12" cm="1">
        <f t="array" ref="E10">AVERAGE(E5:E9)</f>
        <v>0.88374</v>
      </c>
      <c r="F10" s="13" cm="1">
        <f t="array" ref="F10">AVERAGE(F5:F9)</f>
      </c>
      <c r="G10" s="13" cm="1">
        <f t="array" ref="G10">AVERAGE(G5:G9)</f>
      </c>
      <c r="H10" s="13"/>
      <c r="I10" s="13"/>
    </row>
    <row r="11" ht="20.05" customHeight="1">
      <c r="A11" t="s" s="9">
        <v>332</v>
      </c>
      <c r="B11" t="s" s="10">
        <v>245</v>
      </c>
      <c r="C11" s="12" cm="1">
        <f t="array" ref="C11">STDEV(C5:C9)</f>
        <v>0.103168081304248</v>
      </c>
      <c r="D11" s="12" cm="1">
        <f t="array" ref="D11">STDEV(D5:D9)</f>
        <v>0.0101314855771501</v>
      </c>
      <c r="E11" s="12" cm="1">
        <f t="array" ref="E11">STDEV(E5:E9)</f>
        <v>0.00519644108982292</v>
      </c>
      <c r="F11" s="13" cm="1">
        <f t="array" ref="F11">STDEV(F5:F9)</f>
      </c>
      <c r="G11" s="13" cm="1">
        <f t="array" ref="G11">STDEV(G5:G9)</f>
      </c>
      <c r="H11" s="13"/>
      <c r="I11" s="13"/>
    </row>
    <row r="12" ht="20.05" customHeight="1">
      <c r="A12" s="16"/>
      <c r="B12" s="17"/>
      <c r="C12" s="13"/>
      <c r="D12" s="13"/>
      <c r="E12" s="13"/>
      <c r="F12" s="13"/>
      <c r="G12" s="13"/>
      <c r="H12" s="13"/>
      <c r="I12" s="13"/>
    </row>
    <row r="13" ht="20.05" customHeight="1">
      <c r="A13" t="s" s="9">
        <v>372</v>
      </c>
      <c r="B13" s="17"/>
      <c r="C13" s="13"/>
      <c r="D13" s="13"/>
      <c r="E13" s="13"/>
      <c r="F13" s="13"/>
      <c r="G13" s="13"/>
      <c r="H13" s="13"/>
      <c r="I13" s="13"/>
    </row>
    <row r="14" ht="20.05" customHeight="1">
      <c r="A14" t="s" s="9">
        <v>413</v>
      </c>
      <c r="B14" t="s" s="10">
        <v>245</v>
      </c>
      <c r="C14" s="12">
        <v>1.3737</v>
      </c>
      <c r="D14" s="12">
        <v>0.7722</v>
      </c>
      <c r="E14" s="12">
        <v>0.8875999999999999</v>
      </c>
      <c r="F14" s="13"/>
      <c r="G14" s="13"/>
      <c r="H14" s="13"/>
      <c r="I14" s="13"/>
    </row>
    <row r="15" ht="20.05" customHeight="1">
      <c r="A15" t="s" s="9">
        <v>419</v>
      </c>
      <c r="B15" t="s" s="10">
        <v>245</v>
      </c>
      <c r="C15" s="12">
        <v>1.3693</v>
      </c>
      <c r="D15" s="12">
        <v>0.7729</v>
      </c>
      <c r="E15" s="12">
        <v>0.8879</v>
      </c>
      <c r="F15" s="13"/>
      <c r="G15" s="13"/>
      <c r="H15" s="13"/>
      <c r="I15" s="13"/>
    </row>
    <row r="16" ht="20.05" customHeight="1">
      <c r="A16" t="s" s="9">
        <v>465</v>
      </c>
      <c r="B16" t="s" s="10">
        <v>245</v>
      </c>
      <c r="C16" s="12">
        <v>1.3688</v>
      </c>
      <c r="D16" s="12">
        <v>0.7734</v>
      </c>
      <c r="E16" s="12">
        <v>0.888</v>
      </c>
      <c r="F16" s="13"/>
      <c r="G16" s="13"/>
      <c r="H16" s="13"/>
      <c r="I16" s="13"/>
    </row>
    <row r="17" ht="20.05" customHeight="1">
      <c r="A17" t="s" s="9">
        <v>466</v>
      </c>
      <c r="B17" t="s" s="10">
        <v>245</v>
      </c>
      <c r="C17" s="12">
        <v>1.3779</v>
      </c>
      <c r="D17" s="12">
        <v>0.7719</v>
      </c>
      <c r="E17" s="12">
        <v>0.8872</v>
      </c>
      <c r="F17" s="13"/>
      <c r="G17" s="13"/>
      <c r="H17" s="13"/>
      <c r="I17" s="13"/>
    </row>
    <row r="18" ht="20.05" customHeight="1">
      <c r="A18" t="s" s="9">
        <v>467</v>
      </c>
      <c r="B18" t="s" s="10">
        <v>245</v>
      </c>
      <c r="C18" s="12">
        <v>1.3767</v>
      </c>
      <c r="D18" s="12">
        <v>0.7716</v>
      </c>
      <c r="E18" s="12">
        <v>0.8873</v>
      </c>
      <c r="F18" s="13"/>
      <c r="G18" s="13"/>
      <c r="H18" s="13"/>
      <c r="I18" s="13"/>
    </row>
    <row r="19" ht="20.05" customHeight="1">
      <c r="A19" t="s" s="9">
        <v>331</v>
      </c>
      <c r="B19" t="s" s="10">
        <v>245</v>
      </c>
      <c r="C19" s="12" cm="1">
        <f t="array" ref="C19">AVERAGE(C14:C18)</f>
        <v>1.37328</v>
      </c>
      <c r="D19" s="12" cm="1">
        <f t="array" ref="D19">AVERAGE(D14:D18)</f>
        <v>0.7724</v>
      </c>
      <c r="E19" s="12" cm="1">
        <f t="array" ref="E19">AVERAGE(E14:E18)</f>
        <v>0.8875999999999999</v>
      </c>
      <c r="F19" s="13" cm="1">
        <f t="array" ref="F19">AVERAGE(F14:F18)</f>
      </c>
      <c r="G19" s="13" cm="1">
        <f t="array" ref="G19">AVERAGE(G14:G18)</f>
      </c>
      <c r="H19" s="13"/>
      <c r="I19" s="13"/>
    </row>
    <row r="20" ht="20.05" customHeight="1">
      <c r="A20" t="s" s="9">
        <v>332</v>
      </c>
      <c r="B20" t="s" s="10">
        <v>245</v>
      </c>
      <c r="C20" s="12" cm="1">
        <f t="array" ref="C20">STDEV(C14:C18)</f>
        <v>0.00415716249381715</v>
      </c>
      <c r="D20" s="12" cm="1">
        <f t="array" ref="D20">STDEV(D14:D18)</f>
        <v>0.00073824115301167</v>
      </c>
      <c r="E20" s="12" cm="1">
        <f t="array" ref="E20">STDEV(E14:E18)</f>
        <v>0.000353553390593274</v>
      </c>
      <c r="F20" s="13" cm="1">
        <f t="array" ref="F20">STDEV(F14:F18)</f>
      </c>
      <c r="G20" s="13" cm="1">
        <f t="array" ref="G20">STDEV(G14:G18)</f>
      </c>
      <c r="H20" s="13"/>
      <c r="I20" s="13"/>
    </row>
    <row r="21" ht="20.05" customHeight="1">
      <c r="A21" s="16"/>
      <c r="B21" s="17"/>
      <c r="C21" s="13"/>
      <c r="D21" s="13"/>
      <c r="E21" s="13"/>
      <c r="F21" s="13"/>
      <c r="G21" s="13"/>
      <c r="H21" s="13"/>
      <c r="I21" s="13"/>
    </row>
    <row r="22" ht="20.05" customHeight="1">
      <c r="A22" t="s" s="9">
        <v>333</v>
      </c>
      <c r="B22" s="17"/>
      <c r="C22" s="13"/>
      <c r="D22" s="13"/>
      <c r="E22" s="13"/>
      <c r="F22" s="13"/>
      <c r="G22" s="13"/>
      <c r="H22" s="13"/>
      <c r="I22" s="13"/>
    </row>
    <row r="23" ht="20.05" customHeight="1">
      <c r="A23" t="s" s="9">
        <v>411</v>
      </c>
      <c r="B23" t="s" s="10">
        <v>245</v>
      </c>
      <c r="C23" s="12">
        <v>1.3268</v>
      </c>
      <c r="D23" s="12">
        <v>0.7813</v>
      </c>
      <c r="E23" s="12">
        <v>0.892</v>
      </c>
      <c r="F23" s="13"/>
      <c r="G23" s="13"/>
      <c r="H23" s="13"/>
      <c r="I23" s="13"/>
    </row>
    <row r="24" ht="20.05" customHeight="1">
      <c r="A24" t="s" s="9">
        <v>417</v>
      </c>
      <c r="B24" t="s" s="10">
        <v>245</v>
      </c>
      <c r="C24" s="12">
        <v>1.3823</v>
      </c>
      <c r="D24" s="12">
        <v>0.7717000000000001</v>
      </c>
      <c r="E24" s="12">
        <v>0.8873</v>
      </c>
      <c r="F24" s="13"/>
      <c r="G24" s="13"/>
      <c r="H24" s="13"/>
      <c r="I24" s="13"/>
    </row>
    <row r="25" ht="20.05" customHeight="1">
      <c r="A25" t="s" s="9">
        <v>470</v>
      </c>
      <c r="B25" t="s" s="10">
        <v>245</v>
      </c>
      <c r="C25" s="12">
        <v>1.3366</v>
      </c>
      <c r="D25" s="12">
        <v>0.78</v>
      </c>
      <c r="E25" s="12">
        <v>0.8915999999999999</v>
      </c>
      <c r="F25" s="13"/>
      <c r="G25" s="13"/>
      <c r="H25" s="13"/>
      <c r="I25" s="13"/>
    </row>
    <row r="26" ht="20.05" customHeight="1">
      <c r="A26" t="s" s="9">
        <v>471</v>
      </c>
      <c r="B26" t="s" s="10">
        <v>245</v>
      </c>
      <c r="C26" s="12">
        <v>1.3531</v>
      </c>
      <c r="D26" s="12">
        <v>0.7785</v>
      </c>
      <c r="E26" s="12">
        <v>0.8904</v>
      </c>
      <c r="F26" s="13"/>
      <c r="G26" s="13"/>
      <c r="H26" s="13"/>
      <c r="I26" s="13"/>
    </row>
    <row r="27" ht="20.05" customHeight="1">
      <c r="A27" t="s" s="9">
        <v>472</v>
      </c>
      <c r="B27" t="s" s="10">
        <v>245</v>
      </c>
      <c r="C27" s="12">
        <v>1.3483</v>
      </c>
      <c r="D27" s="12">
        <v>0.7783</v>
      </c>
      <c r="E27" s="12">
        <v>0.8905999999999999</v>
      </c>
      <c r="F27" s="13"/>
      <c r="G27" s="13"/>
      <c r="H27" s="13"/>
      <c r="I27" s="13"/>
    </row>
    <row r="28" ht="20.05" customHeight="1">
      <c r="A28" t="s" s="9">
        <v>331</v>
      </c>
      <c r="B28" t="s" s="10">
        <v>245</v>
      </c>
      <c r="C28" s="12" cm="1">
        <f t="array" ref="C28">AVERAGE(C23:C27)</f>
        <v>1.34942</v>
      </c>
      <c r="D28" s="12" cm="1">
        <f t="array" ref="D28">AVERAGE(D23:D27)</f>
        <v>0.77796</v>
      </c>
      <c r="E28" s="12" cm="1">
        <f t="array" ref="E28">AVERAGE(E23:E27)</f>
        <v>0.8903799999999999</v>
      </c>
      <c r="F28" s="13" cm="1">
        <f t="array" ref="F28">AVERAGE(F23:F27)</f>
      </c>
      <c r="G28" s="13" cm="1">
        <f t="array" ref="G28">AVERAGE(G23:G27)</f>
      </c>
      <c r="H28" s="13"/>
      <c r="I28" s="13"/>
    </row>
    <row r="29" ht="20.05" customHeight="1">
      <c r="A29" t="s" s="9">
        <v>332</v>
      </c>
      <c r="B29" t="s" s="10">
        <v>245</v>
      </c>
      <c r="C29" s="12" cm="1">
        <f t="array" ref="C29">STDEV(C23:C27)</f>
        <v>0.0210470187912683</v>
      </c>
      <c r="D29" s="12" cm="1">
        <f t="array" ref="D29">STDEV(D23:D27)</f>
        <v>0.00370513157661101</v>
      </c>
      <c r="E29" s="12" cm="1">
        <f t="array" ref="E29">STDEV(E23:E27)</f>
        <v>0.00184715998224301</v>
      </c>
      <c r="F29" s="13" cm="1">
        <f t="array" ref="F29">STDEV(F23:F27)</f>
      </c>
      <c r="G29" s="13" cm="1">
        <f t="array" ref="G29">STDEV(G23:G27)</f>
      </c>
      <c r="H29" s="13"/>
      <c r="I29" s="13"/>
    </row>
    <row r="30" ht="20.05" customHeight="1">
      <c r="A30" s="16"/>
      <c r="B30" s="17"/>
      <c r="C30" s="13"/>
      <c r="D30" s="13"/>
      <c r="E30" s="13"/>
      <c r="F30" s="13"/>
      <c r="G30" s="13"/>
      <c r="H30" s="13"/>
      <c r="I30" s="13"/>
    </row>
    <row r="31" ht="20.05" customHeight="1">
      <c r="A31" s="16"/>
      <c r="B31" s="17"/>
      <c r="C31" s="13"/>
      <c r="D31" s="13"/>
      <c r="E31" s="13"/>
      <c r="F31" s="13"/>
      <c r="G31" s="13"/>
      <c r="H31" s="13"/>
      <c r="I31" s="13"/>
    </row>
    <row r="32" ht="20.05" customHeight="1">
      <c r="A32" t="s" s="9">
        <v>475</v>
      </c>
      <c r="B32" s="17"/>
      <c r="C32" s="13"/>
      <c r="D32" s="13"/>
      <c r="E32" s="13"/>
      <c r="F32" s="13"/>
      <c r="G32" s="13"/>
      <c r="H32" s="13"/>
      <c r="I32" s="13"/>
    </row>
    <row r="33" ht="20.05" customHeight="1">
      <c r="A33" t="s" s="9">
        <v>307</v>
      </c>
      <c r="B33" s="17"/>
      <c r="C33" s="13"/>
      <c r="D33" s="13"/>
      <c r="E33" s="13"/>
      <c r="F33" s="13"/>
      <c r="G33" s="13"/>
      <c r="H33" s="13"/>
      <c r="I33" s="13"/>
    </row>
    <row r="34" ht="20.05" customHeight="1">
      <c r="A34" t="s" s="9">
        <v>409</v>
      </c>
      <c r="B34" t="s" s="10">
        <v>245</v>
      </c>
      <c r="C34" s="12">
        <v>3.1072</v>
      </c>
      <c r="D34" s="12">
        <v>0.5142</v>
      </c>
      <c r="E34" s="12">
        <v>0.7201</v>
      </c>
      <c r="F34" s="12">
        <v>-1.8733</v>
      </c>
      <c r="G34" s="12">
        <v>0.3152</v>
      </c>
      <c r="H34" s="13"/>
      <c r="I34" s="13"/>
    </row>
    <row r="35" ht="20.05" customHeight="1">
      <c r="A35" t="s" s="9">
        <v>415</v>
      </c>
      <c r="B35" t="s" s="10">
        <v>245</v>
      </c>
      <c r="C35" s="12">
        <v>2.6401</v>
      </c>
      <c r="D35" s="12">
        <v>0.5545</v>
      </c>
      <c r="E35" s="12">
        <v>0.747</v>
      </c>
      <c r="F35" s="12">
        <v>-1.4535</v>
      </c>
      <c r="G35" s="12">
        <v>0.3353</v>
      </c>
      <c r="H35" s="13"/>
      <c r="I35" s="13"/>
    </row>
    <row r="36" ht="20.05" customHeight="1">
      <c r="A36" t="s" s="9">
        <v>462</v>
      </c>
      <c r="B36" t="s" s="10">
        <v>245</v>
      </c>
      <c r="C36" s="12">
        <v>2.6663</v>
      </c>
      <c r="D36" s="12">
        <v>0.5703</v>
      </c>
      <c r="E36" s="12">
        <v>0.7563</v>
      </c>
      <c r="F36" s="12">
        <v>-1.5627</v>
      </c>
      <c r="G36" s="12">
        <v>0.3309</v>
      </c>
      <c r="H36" s="13"/>
      <c r="I36" s="13"/>
    </row>
    <row r="37" ht="20.05" customHeight="1">
      <c r="A37" t="s" s="9">
        <v>463</v>
      </c>
      <c r="B37" t="s" s="10">
        <v>245</v>
      </c>
      <c r="C37" s="12">
        <v>2.264</v>
      </c>
      <c r="D37" s="12">
        <v>0.6052</v>
      </c>
      <c r="E37" s="12">
        <v>0.7805</v>
      </c>
      <c r="F37" s="12">
        <v>-1.3549</v>
      </c>
      <c r="G37" s="12">
        <v>0.3412</v>
      </c>
      <c r="H37" s="13"/>
      <c r="I37" s="13"/>
    </row>
    <row r="38" ht="20.05" customHeight="1">
      <c r="A38" t="s" s="9">
        <v>464</v>
      </c>
      <c r="B38" t="s" s="10">
        <v>245</v>
      </c>
      <c r="C38" s="12">
        <v>2.2977</v>
      </c>
      <c r="D38" s="12">
        <v>0.6276</v>
      </c>
      <c r="E38" s="12">
        <v>0.7946</v>
      </c>
      <c r="F38" s="12">
        <v>-1.0405</v>
      </c>
      <c r="G38" s="12">
        <v>0.368</v>
      </c>
      <c r="H38" s="13"/>
      <c r="I38" s="13"/>
    </row>
    <row r="39" ht="20.05" customHeight="1">
      <c r="A39" t="s" s="9">
        <v>331</v>
      </c>
      <c r="B39" t="s" s="10">
        <v>245</v>
      </c>
      <c r="C39" s="12" cm="1">
        <f t="array" ref="C39">AVERAGE(C34:C38)</f>
        <v>2.59506</v>
      </c>
      <c r="D39" s="12" cm="1">
        <f t="array" ref="D39">AVERAGE(D34:D38)</f>
        <v>0.57436</v>
      </c>
      <c r="E39" s="12" cm="1">
        <f t="array" ref="E39">AVERAGE(E34:E38)</f>
        <v>0.7597</v>
      </c>
      <c r="F39" s="12" cm="1">
        <f t="array" ref="F39">AVERAGE(F34:F38)</f>
        <v>-1.45698</v>
      </c>
      <c r="G39" s="12" cm="1">
        <f t="array" ref="G39">AVERAGE(G34:G38)</f>
        <v>0.33812</v>
      </c>
      <c r="H39" s="13"/>
      <c r="I39" s="13"/>
    </row>
    <row r="40" ht="20.05" customHeight="1">
      <c r="A40" t="s" s="9">
        <v>332</v>
      </c>
      <c r="B40" t="s" s="10">
        <v>245</v>
      </c>
      <c r="C40" s="12" cm="1">
        <f t="array" ref="C40">STDEV(C34:C38)</f>
        <v>0.34183870904273</v>
      </c>
      <c r="D40" s="12" cm="1">
        <f t="array" ref="D40">STDEV(D34:D38)</f>
        <v>0.0442033143553739</v>
      </c>
      <c r="E40" s="12" cm="1">
        <f t="array" ref="E40">STDEV(E34:E38)</f>
        <v>0.0291189800645558</v>
      </c>
      <c r="F40" s="12" cm="1">
        <f t="array" ref="F40">STDEV(F34:F38)</f>
        <v>0.30347449975245</v>
      </c>
      <c r="G40" s="12" cm="1">
        <f t="array" ref="G40">STDEV(G34:G38)</f>
        <v>0.0192854089922926</v>
      </c>
      <c r="H40" s="13"/>
      <c r="I40" s="13"/>
    </row>
    <row r="41" ht="20.05" customHeight="1">
      <c r="A41" s="16"/>
      <c r="B41" s="17"/>
      <c r="C41" s="13"/>
      <c r="D41" s="13"/>
      <c r="E41" s="13"/>
      <c r="F41" s="13"/>
      <c r="G41" s="13"/>
      <c r="H41" s="13"/>
      <c r="I41" s="13"/>
    </row>
    <row r="42" ht="20.05" customHeight="1">
      <c r="A42" t="s" s="9">
        <v>372</v>
      </c>
      <c r="B42" s="17"/>
      <c r="C42" s="13"/>
      <c r="D42" s="13"/>
      <c r="E42" s="13"/>
      <c r="F42" s="13"/>
      <c r="G42" s="13"/>
      <c r="H42" s="13"/>
      <c r="I42" s="13"/>
    </row>
    <row r="43" ht="20.05" customHeight="1">
      <c r="A43" t="s" s="9">
        <v>413</v>
      </c>
      <c r="B43" t="s" s="10">
        <v>245</v>
      </c>
      <c r="C43" s="12">
        <v>2.2711</v>
      </c>
      <c r="D43" s="12">
        <v>0.6175</v>
      </c>
      <c r="E43" s="12">
        <v>0.7876</v>
      </c>
      <c r="F43" s="12">
        <v>-1.2986</v>
      </c>
      <c r="G43" s="12">
        <v>0.3496</v>
      </c>
      <c r="H43" s="13"/>
      <c r="I43" s="13"/>
    </row>
    <row r="44" ht="20.05" customHeight="1">
      <c r="A44" t="s" s="9">
        <v>419</v>
      </c>
      <c r="B44" t="s" s="10">
        <v>245</v>
      </c>
      <c r="C44" s="12">
        <v>2.2662</v>
      </c>
      <c r="D44" s="12">
        <v>0.6182</v>
      </c>
      <c r="E44" s="12">
        <v>0.788</v>
      </c>
      <c r="F44" s="12">
        <v>-1.2961</v>
      </c>
      <c r="G44" s="12">
        <v>0.3499</v>
      </c>
      <c r="H44" s="13"/>
      <c r="I44" s="13"/>
    </row>
    <row r="45" ht="20.05" customHeight="1">
      <c r="A45" t="s" s="9">
        <v>465</v>
      </c>
      <c r="B45" t="s" s="10">
        <v>245</v>
      </c>
      <c r="C45" s="12">
        <v>2.2693</v>
      </c>
      <c r="D45" s="12">
        <v>0.6179</v>
      </c>
      <c r="E45" s="12">
        <v>0.7877999999999999</v>
      </c>
      <c r="F45" s="12">
        <v>-1.3024</v>
      </c>
      <c r="G45" s="12">
        <v>0.3497</v>
      </c>
      <c r="H45" s="13"/>
      <c r="I45" s="13"/>
    </row>
    <row r="46" ht="20.05" customHeight="1">
      <c r="A46" t="s" s="9">
        <v>466</v>
      </c>
      <c r="B46" t="s" s="10">
        <v>245</v>
      </c>
      <c r="C46" s="12">
        <v>2.2742</v>
      </c>
      <c r="D46" s="12">
        <v>0.617</v>
      </c>
      <c r="E46" s="12">
        <v>0.7872</v>
      </c>
      <c r="F46" s="12">
        <v>-1.2919</v>
      </c>
      <c r="G46" s="12">
        <v>0.3499</v>
      </c>
      <c r="H46" s="13"/>
      <c r="I46" s="13"/>
    </row>
    <row r="47" ht="20.05" customHeight="1">
      <c r="A47" t="s" s="9">
        <v>467</v>
      </c>
      <c r="B47" t="s" s="10">
        <v>245</v>
      </c>
      <c r="C47" s="12">
        <v>2.269</v>
      </c>
      <c r="D47" s="12">
        <v>0.6175</v>
      </c>
      <c r="E47" s="12">
        <v>0.7876</v>
      </c>
      <c r="F47" s="12">
        <v>-1.2901</v>
      </c>
      <c r="G47" s="12">
        <v>0.3502</v>
      </c>
      <c r="H47" s="13"/>
      <c r="I47" s="13"/>
    </row>
    <row r="48" ht="20.05" customHeight="1">
      <c r="A48" t="s" s="9">
        <v>331</v>
      </c>
      <c r="B48" t="s" s="10">
        <v>245</v>
      </c>
      <c r="C48" s="12" cm="1">
        <f t="array" ref="C48">AVERAGE(C43:C47)</f>
        <v>2.26996</v>
      </c>
      <c r="D48" s="12" cm="1">
        <f t="array" ref="D48">AVERAGE(D43:D47)</f>
        <v>0.6176199999999999</v>
      </c>
      <c r="E48" s="12" cm="1">
        <f t="array" ref="E48">AVERAGE(E43:E47)</f>
        <v>0.78764</v>
      </c>
      <c r="F48" s="12" cm="1">
        <f t="array" ref="F48">AVERAGE(F43:F47)</f>
        <v>-1.29582</v>
      </c>
      <c r="G48" s="12" cm="1">
        <f t="array" ref="G48">AVERAGE(G43:G47)</f>
        <v>0.34986</v>
      </c>
      <c r="H48" s="13"/>
      <c r="I48" s="13"/>
    </row>
    <row r="49" ht="20.05" customHeight="1">
      <c r="A49" t="s" s="9">
        <v>332</v>
      </c>
      <c r="B49" t="s" s="10">
        <v>245</v>
      </c>
      <c r="C49" s="12" cm="1">
        <f t="array" ref="C49">STDEV(C43:C47)</f>
        <v>0.00294838939083697</v>
      </c>
      <c r="D49" s="12" cm="1">
        <f t="array" ref="D49">STDEV(D43:D47)</f>
        <v>0.000454972526643093</v>
      </c>
      <c r="E49" s="12" cm="1">
        <f t="array" ref="E49">STDEV(E43:E47)</f>
        <v>0.000296647939483826</v>
      </c>
      <c r="F49" s="12" cm="1">
        <f t="array" ref="F49">STDEV(F43:F47)</f>
        <v>0.00497965862283751</v>
      </c>
      <c r="G49" s="12" cm="1">
        <f t="array" ref="G49">STDEV(G43:G47)</f>
        <v>0.000230217288664427</v>
      </c>
      <c r="H49" s="13"/>
      <c r="I49" s="13"/>
    </row>
    <row r="50" ht="20.05" customHeight="1">
      <c r="A50" s="16"/>
      <c r="B50" s="17"/>
      <c r="C50" s="13"/>
      <c r="D50" s="13"/>
      <c r="E50" s="13"/>
      <c r="F50" s="13"/>
      <c r="G50" s="13"/>
      <c r="H50" s="13"/>
      <c r="I50" s="13"/>
    </row>
    <row r="51" ht="20.05" customHeight="1">
      <c r="A51" t="s" s="9">
        <v>333</v>
      </c>
      <c r="B51" s="17"/>
      <c r="C51" s="13"/>
      <c r="D51" s="13"/>
      <c r="E51" s="13"/>
      <c r="F51" s="13"/>
      <c r="G51" s="13"/>
      <c r="H51" s="13"/>
      <c r="I51" s="13"/>
    </row>
    <row r="52" ht="20.05" customHeight="1">
      <c r="A52" t="s" s="9">
        <v>411</v>
      </c>
      <c r="B52" t="s" s="10">
        <v>245</v>
      </c>
      <c r="C52" s="12">
        <v>2.2567</v>
      </c>
      <c r="D52" s="12">
        <v>0.6205000000000001</v>
      </c>
      <c r="E52" s="12">
        <v>0.7894</v>
      </c>
      <c r="F52" s="12">
        <v>-1.3674</v>
      </c>
      <c r="G52" s="12">
        <v>0.3467</v>
      </c>
      <c r="H52" s="13"/>
      <c r="I52" s="13"/>
    </row>
    <row r="53" ht="20.05" customHeight="1">
      <c r="A53" t="s" s="9">
        <v>417</v>
      </c>
      <c r="B53" t="s" s="10">
        <v>245</v>
      </c>
      <c r="C53" s="12">
        <v>2.2765</v>
      </c>
      <c r="D53" s="12">
        <v>0.6169</v>
      </c>
      <c r="E53" s="12">
        <v>0.787</v>
      </c>
      <c r="F53" s="12">
        <v>-1.2863</v>
      </c>
      <c r="G53" s="12">
        <v>0.3501</v>
      </c>
      <c r="H53" s="13"/>
      <c r="I53" s="13"/>
    </row>
    <row r="54" ht="20.05" customHeight="1">
      <c r="A54" t="s" s="9">
        <v>470</v>
      </c>
      <c r="B54" t="s" s="10">
        <v>245</v>
      </c>
      <c r="C54" s="12">
        <v>2.2499</v>
      </c>
      <c r="D54" s="12">
        <v>0.6231</v>
      </c>
      <c r="E54" s="12">
        <v>0.7911</v>
      </c>
      <c r="F54" s="12">
        <v>-1.3321</v>
      </c>
      <c r="G54" s="12">
        <v>0.3481</v>
      </c>
      <c r="H54" s="13"/>
      <c r="I54" s="13"/>
    </row>
    <row r="55" ht="20.05" customHeight="1">
      <c r="A55" t="s" s="9">
        <v>471</v>
      </c>
      <c r="B55" t="s" s="10">
        <v>245</v>
      </c>
      <c r="C55" s="12">
        <v>2.2827</v>
      </c>
      <c r="D55" s="12">
        <v>0.6189</v>
      </c>
      <c r="E55" s="12">
        <v>0.7882</v>
      </c>
      <c r="F55" s="12">
        <v>-1.359</v>
      </c>
      <c r="G55" s="12">
        <v>0.3456</v>
      </c>
      <c r="H55" s="13"/>
      <c r="I55" s="13"/>
    </row>
    <row r="56" ht="20.05" customHeight="1">
      <c r="A56" t="s" s="9">
        <v>472</v>
      </c>
      <c r="B56" t="s" s="10">
        <v>245</v>
      </c>
      <c r="C56" s="12">
        <v>2.2584</v>
      </c>
      <c r="D56" s="12">
        <v>0.6223</v>
      </c>
      <c r="E56" s="12">
        <v>0.7905</v>
      </c>
      <c r="F56" s="12">
        <v>-1.3187</v>
      </c>
      <c r="G56" s="12">
        <v>0.3489</v>
      </c>
      <c r="H56" s="13"/>
      <c r="I56" s="13"/>
    </row>
    <row r="57" ht="20.05" customHeight="1">
      <c r="A57" t="s" s="9">
        <v>331</v>
      </c>
      <c r="B57" t="s" s="10">
        <v>245</v>
      </c>
      <c r="C57" s="12" cm="1">
        <f t="array" ref="C57">AVERAGE(C52:C56)</f>
        <v>2.26484</v>
      </c>
      <c r="D57" s="12" cm="1">
        <f t="array" ref="D57">AVERAGE(D52:D56)</f>
        <v>0.62034</v>
      </c>
      <c r="E57" s="12" cm="1">
        <f t="array" ref="E57">AVERAGE(E52:E56)</f>
        <v>0.7892400000000001</v>
      </c>
      <c r="F57" s="12" cm="1">
        <f t="array" ref="F57">AVERAGE(F52:F56)</f>
        <v>-1.3327</v>
      </c>
      <c r="G57" s="12" cm="1">
        <f t="array" ref="G57">AVERAGE(G52:G56)</f>
        <v>0.34788</v>
      </c>
      <c r="H57" s="13"/>
      <c r="I57" s="13"/>
    </row>
    <row r="58" ht="20.05" customHeight="1">
      <c r="A58" t="s" s="9">
        <v>332</v>
      </c>
      <c r="B58" t="s" s="10">
        <v>245</v>
      </c>
      <c r="C58" s="12" cm="1">
        <f t="array" ref="C58">STDEV(C52:C56)</f>
        <v>0.0140167043202031</v>
      </c>
      <c r="D58" s="12" cm="1">
        <f t="array" ref="D58">STDEV(D52:D56)</f>
        <v>0.00251952376452376</v>
      </c>
      <c r="E58" s="12" cm="1">
        <f t="array" ref="E58">STDEV(E52:E56)</f>
        <v>0.00167122709408387</v>
      </c>
      <c r="F58" s="12" cm="1">
        <f t="array" ref="F58">STDEV(F52:F56)</f>
        <v>0.0325772159645357</v>
      </c>
      <c r="G58" s="12" cm="1">
        <f t="array" ref="G58">STDEV(G52:G56)</f>
        <v>0.00177538728169377</v>
      </c>
      <c r="H58" s="13"/>
      <c r="I58" s="13"/>
    </row>
    <row r="59" ht="20.05" customHeight="1">
      <c r="A59" s="16"/>
      <c r="B59" s="17"/>
      <c r="C59" s="13"/>
      <c r="D59" s="13"/>
      <c r="E59" s="13"/>
      <c r="F59" s="13"/>
      <c r="G59" s="13"/>
      <c r="H59" s="13"/>
      <c r="I59" s="13"/>
    </row>
    <row r="60" ht="20.05" customHeight="1">
      <c r="A60" s="16"/>
      <c r="B60" s="17"/>
      <c r="C60" s="13"/>
      <c r="D60" s="13"/>
      <c r="E60" s="13"/>
      <c r="F60" s="13"/>
      <c r="G60" s="13"/>
      <c r="H60" s="13"/>
      <c r="I60" s="13"/>
    </row>
    <row r="61" ht="32.05" customHeight="1">
      <c r="A61" t="s" s="9">
        <v>476</v>
      </c>
      <c r="B61" s="17"/>
      <c r="C61" s="13"/>
      <c r="D61" s="13"/>
      <c r="E61" s="13"/>
      <c r="F61" s="13"/>
      <c r="G61" s="13"/>
      <c r="H61" s="13"/>
      <c r="I61" s="13"/>
    </row>
    <row r="62" ht="32.05" customHeight="1">
      <c r="A62" t="s" s="9">
        <v>477</v>
      </c>
      <c r="B62" s="17"/>
      <c r="C62" s="13"/>
      <c r="D62" s="13"/>
      <c r="E62" s="13"/>
      <c r="F62" s="13"/>
      <c r="G62" s="13"/>
      <c r="H62" s="13"/>
      <c r="I62" s="13"/>
    </row>
    <row r="63" ht="20.05" customHeight="1">
      <c r="A63" t="s" s="9">
        <v>409</v>
      </c>
      <c r="B63" t="s" s="10">
        <v>245</v>
      </c>
      <c r="C63" s="12">
        <v>2.8201</v>
      </c>
      <c r="D63" s="12">
        <v>0.5605</v>
      </c>
      <c r="E63" s="12">
        <v>0.7504999999999999</v>
      </c>
      <c r="F63" s="12">
        <v>-1.6266</v>
      </c>
      <c r="G63" s="12">
        <v>0.3436</v>
      </c>
      <c r="H63" s="13"/>
      <c r="I63" s="13"/>
    </row>
    <row r="64" ht="20.05" customHeight="1">
      <c r="A64" t="s" s="9">
        <v>415</v>
      </c>
      <c r="B64" t="s" s="10">
        <v>245</v>
      </c>
      <c r="C64" s="12">
        <v>2.4178</v>
      </c>
      <c r="D64" s="12">
        <v>0.5937</v>
      </c>
      <c r="E64" s="12">
        <v>0.7723</v>
      </c>
      <c r="F64" s="12">
        <v>-1.2254</v>
      </c>
      <c r="G64" s="12">
        <v>0.3607</v>
      </c>
      <c r="H64" s="13"/>
      <c r="I64" s="13"/>
    </row>
    <row r="65" ht="20.05" customHeight="1">
      <c r="A65" t="s" s="9">
        <v>462</v>
      </c>
      <c r="B65" t="s" s="10">
        <v>245</v>
      </c>
      <c r="C65" s="12">
        <v>2.5252</v>
      </c>
      <c r="D65" s="12">
        <v>0.5961</v>
      </c>
      <c r="E65" s="12">
        <v>0.7738</v>
      </c>
      <c r="F65" s="12">
        <v>-1.4232</v>
      </c>
      <c r="G65" s="12">
        <v>0.3543</v>
      </c>
      <c r="H65" s="13"/>
      <c r="I65" s="13"/>
    </row>
    <row r="66" ht="20.05" customHeight="1">
      <c r="A66" t="s" s="9">
        <v>463</v>
      </c>
      <c r="B66" t="s" s="10">
        <v>245</v>
      </c>
      <c r="C66" s="12">
        <v>2.2241</v>
      </c>
      <c r="D66" s="12">
        <v>0.6133</v>
      </c>
      <c r="E66" s="12">
        <v>0.7866</v>
      </c>
      <c r="F66" s="12">
        <v>-1.343</v>
      </c>
      <c r="G66" s="12">
        <v>0.3582</v>
      </c>
      <c r="H66" s="13"/>
      <c r="I66" s="13"/>
    </row>
    <row r="67" ht="20.05" customHeight="1">
      <c r="A67" t="s" s="9">
        <v>464</v>
      </c>
      <c r="B67" t="s" s="10">
        <v>245</v>
      </c>
      <c r="C67" s="12">
        <v>2.2713</v>
      </c>
      <c r="D67" s="12">
        <v>0.633</v>
      </c>
      <c r="E67" s="12">
        <v>0.7981</v>
      </c>
      <c r="F67" s="12">
        <v>-1.0096</v>
      </c>
      <c r="G67" s="12">
        <v>0.381</v>
      </c>
      <c r="H67" s="13"/>
      <c r="I67" s="13"/>
    </row>
    <row r="68" ht="20.05" customHeight="1">
      <c r="A68" t="s" s="9">
        <v>331</v>
      </c>
      <c r="B68" t="s" s="10">
        <v>245</v>
      </c>
      <c r="C68" s="12" cm="1">
        <f t="array" ref="C68">AVERAGE(C63:C67)</f>
        <v>2.4517</v>
      </c>
      <c r="D68" s="12" cm="1">
        <f t="array" ref="D68">AVERAGE(D63:D67)</f>
        <v>0.59932</v>
      </c>
      <c r="E68" s="12" cm="1">
        <f t="array" ref="E68">AVERAGE(E63:E67)</f>
        <v>0.77626</v>
      </c>
      <c r="F68" s="12" cm="1">
        <f t="array" ref="F68">AVERAGE(F63:F67)</f>
        <v>-1.32556</v>
      </c>
      <c r="G68" s="12" cm="1">
        <f t="array" ref="G68">AVERAGE(G63:G67)</f>
        <v>0.35956</v>
      </c>
      <c r="H68" s="13"/>
      <c r="I68" s="13"/>
    </row>
    <row r="69" ht="20.05" customHeight="1">
      <c r="A69" t="s" s="9">
        <v>332</v>
      </c>
      <c r="B69" t="s" s="10">
        <v>245</v>
      </c>
      <c r="C69" s="12" cm="1">
        <f t="array" ref="C69">STDEV(C63:C67)</f>
        <v>0.238020975966405</v>
      </c>
      <c r="D69" s="12" cm="1">
        <f t="array" ref="D69">STDEV(D63:D67)</f>
        <v>0.0268268894954298</v>
      </c>
      <c r="E69" s="12" cm="1">
        <f t="array" ref="E69">STDEV(E63:E67)</f>
        <v>0.017813000870151</v>
      </c>
      <c r="F69" s="12" cm="1">
        <f t="array" ref="F69">STDEV(F63:F67)</f>
        <v>0.229306319145374</v>
      </c>
      <c r="G69" s="12" cm="1">
        <f t="array" ref="G69">STDEV(G63:G67)</f>
        <v>0.0136492856955959</v>
      </c>
      <c r="H69" s="13"/>
      <c r="I69" s="13"/>
    </row>
    <row r="70" ht="20.05" customHeight="1">
      <c r="A70" s="16"/>
      <c r="B70" s="17"/>
      <c r="C70" s="13"/>
      <c r="D70" s="13"/>
      <c r="E70" s="13"/>
      <c r="F70" s="13"/>
      <c r="G70" s="13"/>
      <c r="H70" s="13"/>
      <c r="I70" s="13"/>
    </row>
    <row r="71" ht="44.05" customHeight="1">
      <c r="A71" t="s" s="9">
        <v>478</v>
      </c>
      <c r="B71" s="17"/>
      <c r="C71" s="13"/>
      <c r="D71" s="13"/>
      <c r="E71" s="13"/>
      <c r="F71" s="13"/>
      <c r="G71" s="13"/>
      <c r="H71" s="13"/>
      <c r="I71" s="13"/>
    </row>
    <row r="72" ht="20.05" customHeight="1">
      <c r="A72" t="s" s="9">
        <v>413</v>
      </c>
      <c r="B72" t="s" s="10">
        <v>245</v>
      </c>
      <c r="C72" s="12">
        <v>1.3858</v>
      </c>
      <c r="D72" s="12">
        <v>0.7751</v>
      </c>
      <c r="E72" s="12">
        <v>0.8834</v>
      </c>
      <c r="F72" s="12">
        <v>-0.2248</v>
      </c>
      <c r="G72" s="12">
        <v>0.5003</v>
      </c>
      <c r="H72" s="13"/>
      <c r="I72" s="13"/>
    </row>
    <row r="73" ht="20.05" customHeight="1">
      <c r="A73" t="s" s="9">
        <v>419</v>
      </c>
      <c r="B73" t="s" s="10">
        <v>245</v>
      </c>
      <c r="C73" s="12">
        <v>1.3777</v>
      </c>
      <c r="D73" s="12">
        <v>0.7765</v>
      </c>
      <c r="E73" s="12">
        <v>0.884</v>
      </c>
      <c r="F73" s="12">
        <v>-0.2209</v>
      </c>
      <c r="G73" s="12">
        <v>0.5004999999999999</v>
      </c>
      <c r="H73" s="13"/>
      <c r="I73" s="13"/>
    </row>
    <row r="74" ht="20.05" customHeight="1">
      <c r="A74" t="s" s="9">
        <v>465</v>
      </c>
      <c r="B74" t="s" s="10">
        <v>245</v>
      </c>
      <c r="C74" s="12">
        <v>1.3826</v>
      </c>
      <c r="D74" s="12">
        <v>0.7759</v>
      </c>
      <c r="E74" s="12">
        <v>0.8838</v>
      </c>
      <c r="F74" s="12">
        <v>-0.2252</v>
      </c>
      <c r="G74" s="12">
        <v>0.5009</v>
      </c>
      <c r="H74" s="13"/>
      <c r="I74" s="13"/>
    </row>
    <row r="75" ht="20.05" customHeight="1">
      <c r="A75" t="s" s="9">
        <v>466</v>
      </c>
      <c r="B75" t="s" s="10">
        <v>245</v>
      </c>
      <c r="C75" s="12">
        <v>1.3923</v>
      </c>
      <c r="D75" s="12">
        <v>0.7744</v>
      </c>
      <c r="E75" s="12">
        <v>0.8829</v>
      </c>
      <c r="F75" s="12">
        <v>-0.2245</v>
      </c>
      <c r="G75" s="12">
        <v>0.5</v>
      </c>
      <c r="H75" s="13"/>
      <c r="I75" s="13"/>
    </row>
    <row r="76" ht="20.05" customHeight="1">
      <c r="A76" t="s" s="9">
        <v>467</v>
      </c>
      <c r="B76" t="s" s="10">
        <v>245</v>
      </c>
      <c r="C76" s="12">
        <v>1.3809</v>
      </c>
      <c r="D76" s="12">
        <v>0.7759</v>
      </c>
      <c r="E76" s="12">
        <v>0.8837</v>
      </c>
      <c r="F76" s="12">
        <v>-0.2173</v>
      </c>
      <c r="G76" s="12">
        <v>0.501</v>
      </c>
      <c r="H76" s="13"/>
      <c r="I76" s="13"/>
    </row>
    <row r="77" ht="20.05" customHeight="1">
      <c r="A77" t="s" s="9">
        <v>331</v>
      </c>
      <c r="B77" t="s" s="10">
        <v>245</v>
      </c>
      <c r="C77" s="12" cm="1">
        <f t="array" ref="C77">AVERAGE(C72:C76)</f>
        <v>1.38386</v>
      </c>
      <c r="D77" s="12" cm="1">
        <f t="array" ref="D77">AVERAGE(D72:D76)</f>
        <v>0.77556</v>
      </c>
      <c r="E77" s="12" cm="1">
        <f t="array" ref="E77">AVERAGE(E72:E76)</f>
        <v>0.88356</v>
      </c>
      <c r="F77" s="12" cm="1">
        <f t="array" ref="F77">AVERAGE(F72:F76)</f>
        <v>-0.22254</v>
      </c>
      <c r="G77" s="12" cm="1">
        <f t="array" ref="G77">AVERAGE(G72:G76)</f>
        <v>0.50054</v>
      </c>
      <c r="H77" s="13"/>
      <c r="I77" s="13"/>
    </row>
    <row r="78" ht="20.05" customHeight="1">
      <c r="A78" t="s" s="9">
        <v>332</v>
      </c>
      <c r="B78" t="s" s="10">
        <v>245</v>
      </c>
      <c r="C78" s="12" cm="1">
        <f t="array" ref="C78">STDEV(C72:C76)</f>
        <v>0.00555184653966588</v>
      </c>
      <c r="D78" s="12" cm="1">
        <f t="array" ref="D78">STDEV(D72:D76)</f>
        <v>0.0008173126696681019</v>
      </c>
      <c r="E78" s="12" cm="1">
        <f t="array" ref="E78">STDEV(E72:E76)</f>
        <v>0.000427784992724149</v>
      </c>
      <c r="F78" s="12" cm="1">
        <f t="array" ref="F78">STDEV(F72:F76)</f>
        <v>0.00339749908020591</v>
      </c>
      <c r="G78" s="12" cm="1">
        <f t="array" ref="G78">STDEV(G72:G76)</f>
        <v>0.000415932686861708</v>
      </c>
      <c r="H78" s="13"/>
      <c r="I78" s="13"/>
    </row>
    <row r="79" ht="20.05" customHeight="1">
      <c r="A79" s="16"/>
      <c r="B79" s="17"/>
      <c r="C79" s="13"/>
      <c r="D79" s="13"/>
      <c r="E79" s="13"/>
      <c r="F79" s="13"/>
      <c r="G79" s="13"/>
      <c r="H79" s="13"/>
      <c r="I79" s="13"/>
    </row>
    <row r="80" ht="32.05" customHeight="1">
      <c r="A80" t="s" s="9">
        <v>479</v>
      </c>
      <c r="B80" s="17"/>
      <c r="C80" s="13"/>
      <c r="D80" s="13"/>
      <c r="E80" s="13"/>
      <c r="F80" s="13"/>
      <c r="G80" s="13"/>
      <c r="H80" s="13"/>
      <c r="I80" s="13"/>
    </row>
    <row r="81" ht="20.05" customHeight="1">
      <c r="A81" t="s" s="9">
        <v>411</v>
      </c>
      <c r="B81" t="s" s="10">
        <v>245</v>
      </c>
      <c r="C81" s="12">
        <v>1.3833</v>
      </c>
      <c r="D81" s="12">
        <v>0.7738</v>
      </c>
      <c r="E81" s="12">
        <v>0.8797</v>
      </c>
      <c r="F81" s="12">
        <v>-0.2825</v>
      </c>
      <c r="G81" s="12">
        <v>0.4632</v>
      </c>
      <c r="H81" s="13"/>
      <c r="I81" s="13"/>
    </row>
    <row r="82" ht="20.05" customHeight="1">
      <c r="A82" t="s" s="9">
        <v>417</v>
      </c>
      <c r="B82" t="s" s="10">
        <v>245</v>
      </c>
      <c r="C82" s="12">
        <v>1.436</v>
      </c>
      <c r="D82" s="12">
        <v>0.7645</v>
      </c>
      <c r="E82" s="12">
        <v>0.8744</v>
      </c>
      <c r="F82" s="12">
        <v>-0.2782</v>
      </c>
      <c r="G82" s="12">
        <v>0.4596</v>
      </c>
      <c r="H82" s="13"/>
      <c r="I82" s="13"/>
    </row>
    <row r="83" ht="20.05" customHeight="1">
      <c r="A83" t="s" s="9">
        <v>470</v>
      </c>
      <c r="B83" t="s" s="10">
        <v>245</v>
      </c>
      <c r="C83" s="12">
        <v>1.3944</v>
      </c>
      <c r="D83" s="12">
        <v>0.7727000000000001</v>
      </c>
      <c r="E83" s="12">
        <v>0.8792</v>
      </c>
      <c r="F83" s="12">
        <v>-0.285</v>
      </c>
      <c r="G83" s="12">
        <v>0.4624</v>
      </c>
      <c r="H83" s="13"/>
      <c r="I83" s="13"/>
    </row>
    <row r="84" ht="20.05" customHeight="1">
      <c r="A84" t="s" s="9">
        <v>471</v>
      </c>
      <c r="B84" t="s" s="10">
        <v>245</v>
      </c>
      <c r="C84" s="12">
        <v>1.4366</v>
      </c>
      <c r="D84" s="12">
        <v>0.7664</v>
      </c>
      <c r="E84" s="12">
        <v>0.8754</v>
      </c>
      <c r="F84" s="12">
        <v>-0.3146</v>
      </c>
      <c r="G84" s="12">
        <v>0.4568</v>
      </c>
      <c r="H84" s="13"/>
      <c r="I84" s="13"/>
    </row>
    <row r="85" ht="20.05" customHeight="1">
      <c r="A85" t="s" s="9">
        <v>472</v>
      </c>
      <c r="B85" t="s" s="10">
        <v>245</v>
      </c>
      <c r="C85" s="12">
        <v>1.3925</v>
      </c>
      <c r="D85" s="12">
        <v>0.7734</v>
      </c>
      <c r="E85" s="12">
        <v>0.8796</v>
      </c>
      <c r="F85" s="12">
        <v>-0.2673</v>
      </c>
      <c r="G85" s="12">
        <v>0.4649</v>
      </c>
      <c r="H85" s="13"/>
      <c r="I85" s="13"/>
    </row>
    <row r="86" ht="20.05" customHeight="1">
      <c r="A86" t="s" s="9">
        <v>331</v>
      </c>
      <c r="B86" t="s" s="10">
        <v>245</v>
      </c>
      <c r="C86" s="12" cm="1">
        <f t="array" ref="C86">AVERAGE(C81:C85)</f>
        <v>1.40856</v>
      </c>
      <c r="D86" s="12" cm="1">
        <f t="array" ref="D86">AVERAGE(D81:D85)</f>
        <v>0.77016</v>
      </c>
      <c r="E86" s="12" cm="1">
        <f t="array" ref="E86">AVERAGE(E81:E85)</f>
        <v>0.87766</v>
      </c>
      <c r="F86" s="12" cm="1">
        <f t="array" ref="F86">AVERAGE(F81:F85)</f>
        <v>-0.28552</v>
      </c>
      <c r="G86" s="12" cm="1">
        <f t="array" ref="G86">AVERAGE(G81:G85)</f>
        <v>0.46138</v>
      </c>
      <c r="H86" s="13"/>
      <c r="I86" s="13"/>
    </row>
    <row r="87" ht="20.05" customHeight="1">
      <c r="A87" t="s" s="9">
        <v>332</v>
      </c>
      <c r="B87" t="s" s="10">
        <v>245</v>
      </c>
      <c r="C87" s="12" cm="1">
        <f t="array" ref="C87">STDEV(C81:C85)</f>
        <v>0.0256694955151051</v>
      </c>
      <c r="D87" s="12" cm="1">
        <f t="array" ref="D87">STDEV(D81:D85)</f>
        <v>0.00436955375295922</v>
      </c>
      <c r="E87" s="12" cm="1">
        <f t="array" ref="E87">STDEV(E81:E85)</f>
        <v>0.00255107820342694</v>
      </c>
      <c r="F87" s="12" cm="1">
        <f t="array" ref="F87">STDEV(F81:F85)</f>
        <v>0.0176109908863755</v>
      </c>
      <c r="G87" s="12" cm="1">
        <f t="array" ref="G87">STDEV(G81:G85)</f>
        <v>0.0031971862629506</v>
      </c>
      <c r="H87" s="13"/>
      <c r="I87" s="13"/>
    </row>
    <row r="88" ht="20.05" customHeight="1">
      <c r="A88" s="16"/>
      <c r="B88" s="17"/>
      <c r="C88" s="13"/>
      <c r="D88" s="13"/>
      <c r="E88" s="13"/>
      <c r="F88" s="13"/>
      <c r="G88" s="13"/>
      <c r="H88" s="13"/>
      <c r="I88" s="13"/>
    </row>
    <row r="89" ht="20.05" customHeight="1">
      <c r="A89" s="16"/>
      <c r="B89" s="17"/>
      <c r="C89" s="13"/>
      <c r="D89" s="13"/>
      <c r="E89" s="13"/>
      <c r="F89" s="13"/>
      <c r="G89" s="13"/>
      <c r="H89" s="13"/>
      <c r="I89" s="13"/>
    </row>
  </sheetData>
  <mergeCells count="1">
    <mergeCell ref="A1:I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